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1070" documentId="11_169D90BFD30052E6A44A05D04B5ED87656CEEB54" xr6:coauthVersionLast="47" xr6:coauthVersionMax="47" xr10:uidLastSave="{43639469-5D4E-48C3-AC28-FF83EB24834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5" i="1" l="1"/>
  <c r="N88" i="1"/>
  <c r="N157" i="1"/>
  <c r="N138" i="1"/>
  <c r="N144" i="1"/>
  <c r="J215" i="1"/>
  <c r="L215" i="1"/>
  <c r="N234" i="1"/>
  <c r="N233" i="1"/>
  <c r="N151" i="1"/>
  <c r="N147" i="1"/>
  <c r="N143" i="1"/>
  <c r="N142" i="1"/>
  <c r="N134" i="1"/>
  <c r="N129" i="1"/>
  <c r="N127" i="1"/>
  <c r="N124" i="1"/>
  <c r="N101" i="1"/>
  <c r="N95" i="1"/>
  <c r="N91" i="1"/>
  <c r="N84" i="1"/>
  <c r="N85" i="1"/>
  <c r="N83" i="1"/>
  <c r="N80" i="1"/>
  <c r="N78" i="1"/>
  <c r="N69" i="1"/>
  <c r="N66" i="1"/>
  <c r="N58" i="1"/>
  <c r="N56" i="1"/>
  <c r="N54" i="1"/>
  <c r="N53" i="1"/>
  <c r="N52" i="1"/>
  <c r="N46" i="1"/>
  <c r="N44" i="1"/>
  <c r="N45" i="1"/>
  <c r="N43" i="1"/>
  <c r="N40" i="1"/>
  <c r="N34" i="1"/>
  <c r="N24" i="1"/>
  <c r="N12" i="1"/>
  <c r="L24" i="1"/>
</calcChain>
</file>

<file path=xl/sharedStrings.xml><?xml version="1.0" encoding="utf-8"?>
<sst xmlns="http://schemas.openxmlformats.org/spreadsheetml/2006/main" count="1645" uniqueCount="955">
  <si>
    <t>Unique_ID</t>
  </si>
  <si>
    <t>ATCF_ID</t>
  </si>
  <si>
    <t>name</t>
  </si>
  <si>
    <t>Year</t>
  </si>
  <si>
    <t>lf_state</t>
  </si>
  <si>
    <t>lf_lat</t>
  </si>
  <si>
    <t>lf_lon</t>
  </si>
  <si>
    <t>lf_ISO_TIME</t>
  </si>
  <si>
    <t>Datum</t>
  </si>
  <si>
    <t>Surge_m</t>
  </si>
  <si>
    <t>Surge_ft</t>
  </si>
  <si>
    <t>Storm_Tide_m</t>
  </si>
  <si>
    <t>Storm_Tide_ft</t>
  </si>
  <si>
    <t>Lat_Lon_Diff</t>
  </si>
  <si>
    <t>Lat_db</t>
  </si>
  <si>
    <t>Lon_db</t>
  </si>
  <si>
    <t>Start_Date</t>
  </si>
  <si>
    <t>End_Date</t>
  </si>
  <si>
    <t>Storm_Dates</t>
  </si>
  <si>
    <t>Manual check</t>
  </si>
  <si>
    <t>Extra notes</t>
  </si>
  <si>
    <t>ID_0</t>
  </si>
  <si>
    <t>AL011900</t>
  </si>
  <si>
    <t>Galveston</t>
  </si>
  <si>
    <t>TX</t>
  </si>
  <si>
    <t>Aug 27- Sep 15</t>
  </si>
  <si>
    <t>yes</t>
  </si>
  <si>
    <t>Important quote regarding surge height here: https://journals.ametsoc.org/view/journals/mwre/105/4/1520-0493_1977_105_0497_ahso_2_0_co_2.xml?tab_body=pdf</t>
  </si>
  <si>
    <t>ID_1</t>
  </si>
  <si>
    <t>AL041901</t>
  </si>
  <si>
    <t>Storm 4 in 1901</t>
  </si>
  <si>
    <t>LA</t>
  </si>
  <si>
    <t>Aug 2-18</t>
  </si>
  <si>
    <t>Comment on above normal. I would assume that is surge only but some entries in the database is given as storm tide. In this excel sheet the above normal for surge has been removed</t>
  </si>
  <si>
    <t>ID_2</t>
  </si>
  <si>
    <t>AL031903</t>
  </si>
  <si>
    <t>Storm 3 in 1903</t>
  </si>
  <si>
    <t>FL</t>
  </si>
  <si>
    <t>1.52</t>
  </si>
  <si>
    <t>Sep 9 - 16</t>
  </si>
  <si>
    <t>ID_3</t>
  </si>
  <si>
    <t>Sep 9-16</t>
  </si>
  <si>
    <t>ID_5</t>
  </si>
  <si>
    <t>AL061906</t>
  </si>
  <si>
    <t>Storm 6 in 1906</t>
  </si>
  <si>
    <t>MS</t>
  </si>
  <si>
    <t>Sep 19-30</t>
  </si>
  <si>
    <t>ID_6</t>
  </si>
  <si>
    <t>AL081906</t>
  </si>
  <si>
    <t>Storm 8 in 1906</t>
  </si>
  <si>
    <t>2.43</t>
  </si>
  <si>
    <t>Oct 8 - 23</t>
  </si>
  <si>
    <t>out of range</t>
  </si>
  <si>
    <t>maybe to far away</t>
  </si>
  <si>
    <t>ID_7</t>
  </si>
  <si>
    <t>AL041909</t>
  </si>
  <si>
    <t>Valasco</t>
  </si>
  <si>
    <t>Jul 13-22</t>
  </si>
  <si>
    <t>ID_8</t>
  </si>
  <si>
    <t>AL091909</t>
  </si>
  <si>
    <t>Grand Isle</t>
  </si>
  <si>
    <t>MSL</t>
  </si>
  <si>
    <t>Sep 13-22</t>
  </si>
  <si>
    <t>ID_9</t>
  </si>
  <si>
    <t>AL111909</t>
  </si>
  <si>
    <t>Storm 10 in 1909</t>
  </si>
  <si>
    <t>no data</t>
  </si>
  <si>
    <t>ID_10</t>
  </si>
  <si>
    <t>AL051910</t>
  </si>
  <si>
    <t>Storm 5 in 1910</t>
  </si>
  <si>
    <t>Oct 9-23</t>
  </si>
  <si>
    <t>maybe too far away</t>
  </si>
  <si>
    <t>ID_11</t>
  </si>
  <si>
    <t>AL031911</t>
  </si>
  <si>
    <t>Storm 3 in 1911</t>
  </si>
  <si>
    <t>SC</t>
  </si>
  <si>
    <t>MLW</t>
  </si>
  <si>
    <t>The high tide that night reached a point 10.6 fee above MLW, or somewhat lower than the tide of 1893. (Charleston) https://www.aoml.noaa.gov/hrd/hurdat/metadata_master.html</t>
  </si>
  <si>
    <t>ID_12</t>
  </si>
  <si>
    <t>AL041913</t>
  </si>
  <si>
    <t>Storm 4 in 1913</t>
  </si>
  <si>
    <t>NC</t>
  </si>
  <si>
    <t>where the water driven by northeast to southeast gales is reported to have risen 10 feet above previous high-water marks. We dont know what this refers to</t>
  </si>
  <si>
    <t>ID_13</t>
  </si>
  <si>
    <t>AL021915</t>
  </si>
  <si>
    <t>Aug 5-23</t>
  </si>
  <si>
    <t>ID_14</t>
  </si>
  <si>
    <t>AL061915</t>
  </si>
  <si>
    <t>New Orleans</t>
  </si>
  <si>
    <t>Sep 21- Oct 1</t>
  </si>
  <si>
    <t>ID_15</t>
  </si>
  <si>
    <t>AL021916</t>
  </si>
  <si>
    <t>Storm 2 in 1916</t>
  </si>
  <si>
    <t>AL</t>
  </si>
  <si>
    <t>Jun 28- Jul 10</t>
  </si>
  <si>
    <t>ID_16</t>
  </si>
  <si>
    <t>AL061916</t>
  </si>
  <si>
    <t>Storm 6 in 1916</t>
  </si>
  <si>
    <t>Aug 12-20</t>
  </si>
  <si>
    <t>ID_17</t>
  </si>
  <si>
    <t>AL011918</t>
  </si>
  <si>
    <t>Storm 1 in 1918</t>
  </si>
  <si>
    <t>Aug 1-7</t>
  </si>
  <si>
    <t>ID_18</t>
  </si>
  <si>
    <t>AL021919</t>
  </si>
  <si>
    <t>Storm 2 in 1919</t>
  </si>
  <si>
    <t>Sep 2-16</t>
  </si>
  <si>
    <t>check because of multiple landfalls</t>
  </si>
  <si>
    <t>ID_19</t>
  </si>
  <si>
    <t>ID_20</t>
  </si>
  <si>
    <t>AL021920</t>
  </si>
  <si>
    <t>Storm 2 in 1920</t>
  </si>
  <si>
    <t>Sep 16-23</t>
  </si>
  <si>
    <t>ID_21</t>
  </si>
  <si>
    <t>AL061921</t>
  </si>
  <si>
    <t>Tampa Bay</t>
  </si>
  <si>
    <t>Oct 20-30</t>
  </si>
  <si>
    <t>ID_22</t>
  </si>
  <si>
    <t>AL011926</t>
  </si>
  <si>
    <t>Storm 1 in 1926</t>
  </si>
  <si>
    <t>ID_23</t>
  </si>
  <si>
    <t>AL031926</t>
  </si>
  <si>
    <t>Storm 3 in 1926</t>
  </si>
  <si>
    <t>storm surge do tide, tides as high as 15 feet overwashed the southern coast of Terrebonne Parish, north of Isle Derniere Louisiana. http://www.wpc.ncep.noaa.gov/research/lahur.pdf</t>
  </si>
  <si>
    <t>ID_24</t>
  </si>
  <si>
    <t>AL071926</t>
  </si>
  <si>
    <t>Great Miami</t>
  </si>
  <si>
    <t>Sep 11-22</t>
  </si>
  <si>
    <t>ID_25</t>
  </si>
  <si>
    <t>ID_26</t>
  </si>
  <si>
    <t>AL041928</t>
  </si>
  <si>
    <t>Lake Okeechobee</t>
  </si>
  <si>
    <t>3.41</t>
  </si>
  <si>
    <t>Sep 6 - 21</t>
  </si>
  <si>
    <t>ID_27</t>
  </si>
  <si>
    <t>AL011929</t>
  </si>
  <si>
    <t>Storm 1 in 1929</t>
  </si>
  <si>
    <t>Jun 27-29</t>
  </si>
  <si>
    <t>ID_28</t>
  </si>
  <si>
    <t>AL021929</t>
  </si>
  <si>
    <t>Storm 2 in 1929</t>
  </si>
  <si>
    <t>Sep 22- Oct 4</t>
  </si>
  <si>
    <t>ID_29</t>
  </si>
  <si>
    <t>ID_30</t>
  </si>
  <si>
    <t>AL021932</t>
  </si>
  <si>
    <t>Freeport</t>
  </si>
  <si>
    <t>Aug 12-15</t>
  </si>
  <si>
    <t>ID_31</t>
  </si>
  <si>
    <t>AL061933</t>
  </si>
  <si>
    <t>Storm 8 in 1933</t>
  </si>
  <si>
    <t>2.53</t>
  </si>
  <si>
    <t>Aug 13 - 28</t>
  </si>
  <si>
    <t>ID_32</t>
  </si>
  <si>
    <t>AL111933</t>
  </si>
  <si>
    <t>Storm 12 in 1933</t>
  </si>
  <si>
    <t>ID_33</t>
  </si>
  <si>
    <t>AL081933</t>
  </si>
  <si>
    <t>Storm 11 in 1933</t>
  </si>
  <si>
    <t>Aug 28- Sep 05</t>
  </si>
  <si>
    <t>ID_34</t>
  </si>
  <si>
    <t>AL121933</t>
  </si>
  <si>
    <t>Storm 13 in 1933</t>
  </si>
  <si>
    <t>2.99</t>
  </si>
  <si>
    <t>Sep 8 - 22</t>
  </si>
  <si>
    <t>ID_35</t>
  </si>
  <si>
    <t>AL011934</t>
  </si>
  <si>
    <t>Storm 2 in 1934</t>
  </si>
  <si>
    <t>Jun 4-21</t>
  </si>
  <si>
    <t>ID_36</t>
  </si>
  <si>
    <t>AL031934</t>
  </si>
  <si>
    <t>Storm 3 in 1934</t>
  </si>
  <si>
    <t>Jul 21-26</t>
  </si>
  <si>
    <t>ID_37</t>
  </si>
  <si>
    <t>AL031935</t>
  </si>
  <si>
    <t>Labor Day</t>
  </si>
  <si>
    <t>Aug 29- Sep 10</t>
  </si>
  <si>
    <t>ID_38</t>
  </si>
  <si>
    <t>ID_39</t>
  </si>
  <si>
    <t>AL071935</t>
  </si>
  <si>
    <t>Storm 6 in 1935</t>
  </si>
  <si>
    <t>NGVD29</t>
  </si>
  <si>
    <t>found data NGVD here: https://apps.dtic.mil/sti/tr/pdf/ADA144437.pdf. for lauterdale location: 26.13, -80.13</t>
  </si>
  <si>
    <t>ID_40</t>
  </si>
  <si>
    <t>AL031936</t>
  </si>
  <si>
    <t>Storm 3 in 1936</t>
  </si>
  <si>
    <t>ID_41</t>
  </si>
  <si>
    <t>AL051936</t>
  </si>
  <si>
    <t>Storm 5 in 1936</t>
  </si>
  <si>
    <t>Jul 27- Aug 1</t>
  </si>
  <si>
    <t>has multiple entries in database</t>
  </si>
  <si>
    <t>ID_42</t>
  </si>
  <si>
    <t>AL131936</t>
  </si>
  <si>
    <t>Storm 13 in 1936</t>
  </si>
  <si>
    <t>MLLW</t>
  </si>
  <si>
    <t>data above MLLW here : https://www.weather.gov/media/akq/miscNEWS/hurricanehistory.pdf around 2 degrees away, point is sewells point</t>
  </si>
  <si>
    <t>ID_44</t>
  </si>
  <si>
    <t>AL061938</t>
  </si>
  <si>
    <t>New England</t>
  </si>
  <si>
    <t>NY</t>
  </si>
  <si>
    <t>found data closer(willets point) than db here: 16.75 ft. Mean Lower Low Water (MLLW) https://www.weather.gov/okx/1938HurricaneHome</t>
  </si>
  <si>
    <t>ID_45</t>
  </si>
  <si>
    <t>AL021940</t>
  </si>
  <si>
    <t>Storm 2 in 1940</t>
  </si>
  <si>
    <t>has db data, using closer data though from here: chrome-extension://oemmndcbldboiebfnladdacbdfmadadm/https://www.wpc.ncep.noaa.gov/research/lahur.pdf</t>
  </si>
  <si>
    <t>ID_46</t>
  </si>
  <si>
    <t>AL031940</t>
  </si>
  <si>
    <t>Storm 3 in 1940</t>
  </si>
  <si>
    <t>Aug 5-17</t>
  </si>
  <si>
    <t>weird in database, found lady's Island lat long by myself</t>
  </si>
  <si>
    <t>ID_47</t>
  </si>
  <si>
    <t>AL021941</t>
  </si>
  <si>
    <t>Storm 2 in 1941</t>
  </si>
  <si>
    <t>Sep 16-25</t>
  </si>
  <si>
    <t>ID_48</t>
  </si>
  <si>
    <t>AL051941</t>
  </si>
  <si>
    <t>Storm 5 in 1941</t>
  </si>
  <si>
    <t>Oct 3-14</t>
  </si>
  <si>
    <t>ID_49</t>
  </si>
  <si>
    <t>ID_51</t>
  </si>
  <si>
    <t>AL031942</t>
  </si>
  <si>
    <t>Storm 2 in 1942</t>
  </si>
  <si>
    <t>Aug 21-31</t>
  </si>
  <si>
    <t>ID_52</t>
  </si>
  <si>
    <t>AL011943</t>
  </si>
  <si>
    <t>Storm 1 in 1943</t>
  </si>
  <si>
    <t>Jul 25-29</t>
  </si>
  <si>
    <t>reported higher storm surge here, however not certain loc: https://www.weather.gov/hgx/projects_1943surprisehurricane</t>
  </si>
  <si>
    <t>ID_53</t>
  </si>
  <si>
    <t>AL031944</t>
  </si>
  <si>
    <t>Storm 3 in 1944</t>
  </si>
  <si>
    <t>gauge</t>
  </si>
  <si>
    <t>Data at wilmington tide gauge: https://tidesandcurrents.noaa.gov/waterlevels.html?id=8658120&amp;units=standard&amp;bdate=19440730&amp;edate=19440810&amp;timezone=GMT&amp;datum=MSL&amp;interval=h&amp;action=</t>
  </si>
  <si>
    <t>ID_54</t>
  </si>
  <si>
    <t>AL071944</t>
  </si>
  <si>
    <t>Storm 7 in 1944</t>
  </si>
  <si>
    <t>data here: https://www.newspapers.com/article/rocky-mount-telegram/103810635/ wanchese is quite close</t>
  </si>
  <si>
    <t>ID_55</t>
  </si>
  <si>
    <t xml:space="preserve"> is available here:  https://journals.ametsoc.org/view/journals/mwre/72/9/1520-0493_1944_072_0187_tnahos_2_0_co_2.xml?tab_body=pdf and closest is new haven data is height above mean low tide </t>
  </si>
  <si>
    <t>ID_56</t>
  </si>
  <si>
    <t>AL131944</t>
  </si>
  <si>
    <t>Storm 11 in 1944</t>
  </si>
  <si>
    <t>Oct 12-23</t>
  </si>
  <si>
    <t>ID_57</t>
  </si>
  <si>
    <t>entry is weird in db but has jacksonville beach as loc</t>
  </si>
  <si>
    <t>ID_58</t>
  </si>
  <si>
    <t>AL051945</t>
  </si>
  <si>
    <t>Storm 5 in 1945</t>
  </si>
  <si>
    <t>Aug 24-29</t>
  </si>
  <si>
    <t>ID_59</t>
  </si>
  <si>
    <t>AL091945</t>
  </si>
  <si>
    <t>Storm 9 in 1945</t>
  </si>
  <si>
    <t>weird in db, confirmed as MLW here: https://archive.org/details/floridashurrican0000barn_g4v2/page/168/mode/2up</t>
  </si>
  <si>
    <t>ID_60</t>
  </si>
  <si>
    <t>AL061946</t>
  </si>
  <si>
    <t>Storm 5 in 1946</t>
  </si>
  <si>
    <t>Oct 5-14</t>
  </si>
  <si>
    <t>ID_61</t>
  </si>
  <si>
    <t>AL071946</t>
  </si>
  <si>
    <t>Storm 6 in 1946</t>
  </si>
  <si>
    <t>ID_62</t>
  </si>
  <si>
    <t>AL031947</t>
  </si>
  <si>
    <t>Storm 3 in 1947</t>
  </si>
  <si>
    <t>Aug 18-27</t>
  </si>
  <si>
    <t>ID_63</t>
  </si>
  <si>
    <t>AL041947</t>
  </si>
  <si>
    <t>Storm 4 in 1947</t>
  </si>
  <si>
    <t>2.29</t>
  </si>
  <si>
    <t>Sep 4 -21</t>
  </si>
  <si>
    <t>Better data may exist</t>
  </si>
  <si>
    <t>ID_64</t>
  </si>
  <si>
    <t>Sep 4-21</t>
  </si>
  <si>
    <t>ID_65</t>
  </si>
  <si>
    <t>AL061947</t>
  </si>
  <si>
    <t>Storm 6 in 1947</t>
  </si>
  <si>
    <t>ID_67</t>
  </si>
  <si>
    <t>AL091947</t>
  </si>
  <si>
    <t>Storm 8 in 1947</t>
  </si>
  <si>
    <t>ID_68</t>
  </si>
  <si>
    <t>GA</t>
  </si>
  <si>
    <t>data here: https://journals.ametsoc.org/view/journals/mwre/75/10/1520-0493_1947_075_0203_slsfo_2_0_co_2.xml?tab_body=pdf</t>
  </si>
  <si>
    <t>ID_69</t>
  </si>
  <si>
    <t>AL051948</t>
  </si>
  <si>
    <t>Storm 5 in 1948</t>
  </si>
  <si>
    <t>Sep 1-7</t>
  </si>
  <si>
    <t>has data closer, in new orleans: https://journals.ametsoc.org/view/journals/mwre/76/12/1520-0493_1948_076_0277_nahatd_2_0_co_2.xml?tab_body=pdf</t>
  </si>
  <si>
    <t>ID_70</t>
  </si>
  <si>
    <t>AL081948</t>
  </si>
  <si>
    <t>Storm 7 in 1948</t>
  </si>
  <si>
    <t>Sep 18-25</t>
  </si>
  <si>
    <t>ID_71</t>
  </si>
  <si>
    <t>AL091948</t>
  </si>
  <si>
    <t>Storm 8 in 1948</t>
  </si>
  <si>
    <t>data here: https://archive.org/details/floridashurrican0000barn_g4v2/page/182/mode/2up, surge term is used weird</t>
  </si>
  <si>
    <t>ID_72</t>
  </si>
  <si>
    <t>AL021949</t>
  </si>
  <si>
    <t>Storm 2 in 1949</t>
  </si>
  <si>
    <t>2.1</t>
  </si>
  <si>
    <t>Aug 23 - 31</t>
  </si>
  <si>
    <t>no confidence, more data here: https://en.wikipedia.org/wiki/1949_Florida_hurricane#Coastal_South_Florida</t>
  </si>
  <si>
    <t>ID_73</t>
  </si>
  <si>
    <t>AL111949</t>
  </si>
  <si>
    <t>Storm 10 in 1949</t>
  </si>
  <si>
    <t>Sep 27- Oct 6</t>
  </si>
  <si>
    <t>ID_74</t>
  </si>
  <si>
    <t>AL051950</t>
  </si>
  <si>
    <t>Easy</t>
  </si>
  <si>
    <t>Sep 1-9</t>
  </si>
  <si>
    <t>ID_75</t>
  </si>
  <si>
    <t>AL111950</t>
  </si>
  <si>
    <t>King</t>
  </si>
  <si>
    <t>Oct 13 -19</t>
  </si>
  <si>
    <t>ID_76</t>
  </si>
  <si>
    <t>AL091951</t>
  </si>
  <si>
    <t>How</t>
  </si>
  <si>
    <t>ID_77</t>
  </si>
  <si>
    <t>AL021952</t>
  </si>
  <si>
    <t>Able</t>
  </si>
  <si>
    <t>ID_78</t>
  </si>
  <si>
    <t>AL031953</t>
  </si>
  <si>
    <t>Barbara</t>
  </si>
  <si>
    <t>Aug 11 - 16</t>
  </si>
  <si>
    <t>ID_79</t>
  </si>
  <si>
    <t>AL091953</t>
  </si>
  <si>
    <t>Florence</t>
  </si>
  <si>
    <t>Above Normal</t>
  </si>
  <si>
    <t>Sep 23-28</t>
  </si>
  <si>
    <t>surge only</t>
  </si>
  <si>
    <t>ID_80</t>
  </si>
  <si>
    <t>AL061954</t>
  </si>
  <si>
    <t>Carol</t>
  </si>
  <si>
    <t>tide gauge/ https://tidesandcurrents.noaa.gov/waterlevels.html?id=8658120&amp;units=standard&amp;bdate=19540828&amp;edate=19540920&amp;timezone=GMT&amp;datum=MSL&amp;interval=h&amp;action=</t>
  </si>
  <si>
    <t>ID_81</t>
  </si>
  <si>
    <t>30-31 Aug</t>
  </si>
  <si>
    <t>ID_82</t>
  </si>
  <si>
    <t>AL081954</t>
  </si>
  <si>
    <t>Edna</t>
  </si>
  <si>
    <t>MA</t>
  </si>
  <si>
    <t>data here:chrome-extension://oemmndcbldboiebfnladdacbdfmadadm/https://repository.library.noaa.gov/view/noaa/22790/noaa_22790_DS1.pdf cape cod loc, position just picked close</t>
  </si>
  <si>
    <t>ID_83</t>
  </si>
  <si>
    <t>AL141954</t>
  </si>
  <si>
    <t>Hazel</t>
  </si>
  <si>
    <t>ID_84</t>
  </si>
  <si>
    <t>AL021955</t>
  </si>
  <si>
    <t>Connie</t>
  </si>
  <si>
    <t>ID_85</t>
  </si>
  <si>
    <t>AL031955</t>
  </si>
  <si>
    <t>Diane</t>
  </si>
  <si>
    <t>Aug 7 -21</t>
  </si>
  <si>
    <t>https://www.weather.gov/mhx/HurricaneDiane1955</t>
  </si>
  <si>
    <t>ID_86</t>
  </si>
  <si>
    <t>tide gauge: https://tidesandcurrents.noaa.gov/waterlevels.html?id=8518750&amp;units=standard&amp;bdate=19550816&amp;edate=19550823&amp;timezone=GMT&amp;datum=MSL&amp;interval=h&amp;action=</t>
  </si>
  <si>
    <t>ID_87</t>
  </si>
  <si>
    <t>AL081955</t>
  </si>
  <si>
    <t>Ione</t>
  </si>
  <si>
    <t>Sep 10 - 24</t>
  </si>
  <si>
    <t>info here: weird in database has copy in surge. so data here: chrome-extension://oemmndcbldboiebfnladdacbdfmadadm/https://www.weather.gov/media/owp/oh/hdsc/docs/TM27.pdf</t>
  </si>
  <si>
    <t>ID_88</t>
  </si>
  <si>
    <t>AL071956</t>
  </si>
  <si>
    <t>Flossy</t>
  </si>
  <si>
    <t>Sep 21-30</t>
  </si>
  <si>
    <t>ID_89</t>
  </si>
  <si>
    <t>AL021957</t>
  </si>
  <si>
    <t>Audrey</t>
  </si>
  <si>
    <t>Jun 25-29</t>
  </si>
  <si>
    <t>ID_90</t>
  </si>
  <si>
    <t>AL061957</t>
  </si>
  <si>
    <t>Esther</t>
  </si>
  <si>
    <t>Sep 16-19</t>
  </si>
  <si>
    <t>has higher data in db but further away</t>
  </si>
  <si>
    <t>ID_91</t>
  </si>
  <si>
    <t>AL081958</t>
  </si>
  <si>
    <t>Helene</t>
  </si>
  <si>
    <t>Sep 27-28</t>
  </si>
  <si>
    <t>ID_92</t>
  </si>
  <si>
    <t>AL011959</t>
  </si>
  <si>
    <t>Arlene</t>
  </si>
  <si>
    <t>May 28- Jun 2</t>
  </si>
  <si>
    <t>ID_93</t>
  </si>
  <si>
    <t>AL031959</t>
  </si>
  <si>
    <t>Not Named 1959</t>
  </si>
  <si>
    <t>gauge data from st. Petersburg: https://tidesandcurrents.noaa.gov/waterlevels.html?id=8726520&amp;units=standard&amp;bdate=19590615&amp;edate=19590622&amp;timezone=GMT&amp;datum=MLLW&amp;interval=h&amp;action=other data here: https://en.wikipedia.org/wiki/1959_Escuminac_disaster#cite_note-mwr-1</t>
  </si>
  <si>
    <t>ID_94</t>
  </si>
  <si>
    <t>AL051959</t>
  </si>
  <si>
    <t>Debra</t>
  </si>
  <si>
    <t>Jul 23-28</t>
  </si>
  <si>
    <t>ID_95</t>
  </si>
  <si>
    <t>AL081959</t>
  </si>
  <si>
    <t>Gracie</t>
  </si>
  <si>
    <t>Sep 20 - Oct 2</t>
  </si>
  <si>
    <t>ID_96</t>
  </si>
  <si>
    <t>AL011960</t>
  </si>
  <si>
    <t>Not Named 1960</t>
  </si>
  <si>
    <t>Jun 22-29</t>
  </si>
  <si>
    <t>MLW info gotten here chrome-extension://oemmndcbldboiebfnladdacbdfmadadm/https://www.aoml.noaa.gov/general/lib/lib1/nhclib/mwreviews/1960.pdf</t>
  </si>
  <si>
    <t>ID_97</t>
  </si>
  <si>
    <t>AL031960</t>
  </si>
  <si>
    <t>Brenda</t>
  </si>
  <si>
    <t>gauge data from st. Petersburg: https://tidesandcurrents.noaa.gov/stationhome.html?id=8726520 other data here: https://en.wikipedia.org/wiki/1959_Escuminac_disaster#cite_note-mwr-1</t>
  </si>
  <si>
    <t>ID_98</t>
  </si>
  <si>
    <t>AL051960</t>
  </si>
  <si>
    <t>Donna</t>
  </si>
  <si>
    <t>Aug 29- Sep 14</t>
  </si>
  <si>
    <t>ID_99</t>
  </si>
  <si>
    <t>9-13 Sep</t>
  </si>
  <si>
    <t>ID_100</t>
  </si>
  <si>
    <t>ID_101</t>
  </si>
  <si>
    <t>AL061960</t>
  </si>
  <si>
    <t>Ethel</t>
  </si>
  <si>
    <t>Sep 14-17</t>
  </si>
  <si>
    <t>ID_102</t>
  </si>
  <si>
    <t>AL031961</t>
  </si>
  <si>
    <t>Carla</t>
  </si>
  <si>
    <t>Sep 3-16</t>
  </si>
  <si>
    <t>ID_103</t>
  </si>
  <si>
    <t>AL051961</t>
  </si>
  <si>
    <t>gauge data from Wood's hole: https://tidesandcurrents.noaa.gov/waterlevels.html?id=8447930&amp;units=standard&amp;bdate=19610916&amp;edate=19610927&amp;timezone=GMT&amp;datum=MSL&amp;interval=h&amp;action=</t>
  </si>
  <si>
    <t>ID_104</t>
  </si>
  <si>
    <t>AL011962</t>
  </si>
  <si>
    <t>Alma</t>
  </si>
  <si>
    <t>Aug 26 - Sep 2</t>
  </si>
  <si>
    <t>indicate surge: chrome-extension://oemmndcbldboiebfnladdacbdfmadadm/https://www.aoml.noaa.gov/general/lib/lib1/nhclib/mwreviews/1962.pdf</t>
  </si>
  <si>
    <t>ID_105</t>
  </si>
  <si>
    <t>AL041962</t>
  </si>
  <si>
    <t>Daisy</t>
  </si>
  <si>
    <t>ME</t>
  </si>
  <si>
    <t>maybe use this: https://www.nhc.noaa.gov/archive/storm_wallets/atlantic/atl1962/daisy/preloc/bos1123c.gif but no location, eastport is a little above 2 degress away there is no surge.</t>
  </si>
  <si>
    <t>ID_106</t>
  </si>
  <si>
    <t>AL041963</t>
  </si>
  <si>
    <t>Cindy</t>
  </si>
  <si>
    <t>Sep 16-20</t>
  </si>
  <si>
    <t>ID_107</t>
  </si>
  <si>
    <t>AL031964</t>
  </si>
  <si>
    <t>Abby</t>
  </si>
  <si>
    <t>Aug 5-8</t>
  </si>
  <si>
    <t>ID_108</t>
  </si>
  <si>
    <t>AL051964</t>
  </si>
  <si>
    <t>Cleo</t>
  </si>
  <si>
    <t>8/20 -9/5</t>
  </si>
  <si>
    <t>indicate surge chrome-extension://oemmndcbldboiebfnladdacbdfmadadm/https://www.aoml.noaa.gov/general/lib/lib1/nhclib/mwreviews/1964.pdf</t>
  </si>
  <si>
    <t>ID_109</t>
  </si>
  <si>
    <t>AL061964</t>
  </si>
  <si>
    <t>Dora</t>
  </si>
  <si>
    <t>8/28 - 9/16</t>
  </si>
  <si>
    <t>ID_110</t>
  </si>
  <si>
    <t>AL101964</t>
  </si>
  <si>
    <t>Hilda</t>
  </si>
  <si>
    <t>Sep 28- Oct 5</t>
  </si>
  <si>
    <t>ID_111</t>
  </si>
  <si>
    <t>AL111964</t>
  </si>
  <si>
    <t>Isbell</t>
  </si>
  <si>
    <t>10/8-10/16</t>
  </si>
  <si>
    <t>ID_112</t>
  </si>
  <si>
    <t>AL031965</t>
  </si>
  <si>
    <t>Betsy</t>
  </si>
  <si>
    <t>8/27-9/10</t>
  </si>
  <si>
    <t>ID_113</t>
  </si>
  <si>
    <t>Aug 27- Sep 13</t>
  </si>
  <si>
    <t>ID_114</t>
  </si>
  <si>
    <t>AL051965</t>
  </si>
  <si>
    <t>Debbie</t>
  </si>
  <si>
    <t>Sep 24-30</t>
  </si>
  <si>
    <t>ID_115</t>
  </si>
  <si>
    <t>AL011966</t>
  </si>
  <si>
    <t>Jun 4-14</t>
  </si>
  <si>
    <t>ID_116</t>
  </si>
  <si>
    <t>AL091966</t>
  </si>
  <si>
    <t>Inez</t>
  </si>
  <si>
    <t>Sep 21- Oct 11</t>
  </si>
  <si>
    <t>i assume it is surge: chrome-extension://oemmndcbldboiebfnladdacbdfmadadm/https://www.aoml.noaa.gov/general/lib/lib1/nhclib/mwreviews/1966.pdf</t>
  </si>
  <si>
    <t>ID_117</t>
  </si>
  <si>
    <t>AL131967</t>
  </si>
  <si>
    <t>Beulah</t>
  </si>
  <si>
    <t>Sep 5-22</t>
  </si>
  <si>
    <t>changed from Storm Surge</t>
  </si>
  <si>
    <t>ID_118</t>
  </si>
  <si>
    <t>AL011968</t>
  </si>
  <si>
    <t>Jun 1-13</t>
  </si>
  <si>
    <t>ID_119</t>
  </si>
  <si>
    <t>AL031968</t>
  </si>
  <si>
    <t>Candy</t>
  </si>
  <si>
    <t>Jun 22-26</t>
  </si>
  <si>
    <t>ID_120</t>
  </si>
  <si>
    <t>AL141968</t>
  </si>
  <si>
    <t>Gladys</t>
  </si>
  <si>
    <t>Oct 13-21</t>
  </si>
  <si>
    <t>ID_121</t>
  </si>
  <si>
    <t>AL091969</t>
  </si>
  <si>
    <t>Camille</t>
  </si>
  <si>
    <t>Aug 14-22</t>
  </si>
  <si>
    <t>ID_122</t>
  </si>
  <si>
    <t>AL041970</t>
  </si>
  <si>
    <t>Celia</t>
  </si>
  <si>
    <t>Jul 31- Aug 5</t>
  </si>
  <si>
    <t>ID_123</t>
  </si>
  <si>
    <t>AL091971</t>
  </si>
  <si>
    <t>Doria</t>
  </si>
  <si>
    <t>i assume it is surge chrome-extension://oemmndcbldboiebfnladdacbdfmadadm/https://www.nhc.noaa.gov/data/mwreview/1971.pdf</t>
  </si>
  <si>
    <t>ID_124</t>
  </si>
  <si>
    <t>AL111971</t>
  </si>
  <si>
    <t>Fern</t>
  </si>
  <si>
    <t>Sep 3-13</t>
  </si>
  <si>
    <t>ID_125</t>
  </si>
  <si>
    <t>AL131971</t>
  </si>
  <si>
    <t>Edith</t>
  </si>
  <si>
    <t>Sep 5-18</t>
  </si>
  <si>
    <t>ID_126</t>
  </si>
  <si>
    <t>AL141971</t>
  </si>
  <si>
    <t>Ginger</t>
  </si>
  <si>
    <t>data here: https://www.nhc.noaa.gov/archive/storm_wallets/atlantic/atl1971-prelim/ginger/prelim02.gif</t>
  </si>
  <si>
    <t>ID_127</t>
  </si>
  <si>
    <t>AL021972</t>
  </si>
  <si>
    <t>Agnes</t>
  </si>
  <si>
    <t>Jun 14-23</t>
  </si>
  <si>
    <t>maybe surge</t>
  </si>
  <si>
    <t>ID_128</t>
  </si>
  <si>
    <t>6/4-6/22</t>
  </si>
  <si>
    <t>I assume this is surge:  https://www.nhc.noaa.gov/archive/storm_wallets/atlantic/atl1972-prelim/agnes/prelim07.gif</t>
  </si>
  <si>
    <t>ID_129</t>
  </si>
  <si>
    <t>AL111972</t>
  </si>
  <si>
    <t>Carrie</t>
  </si>
  <si>
    <t>data from tide gauge station: https://tidesandcurrents.noaa.gov/stationhome.html?id=8413320</t>
  </si>
  <si>
    <t>ID_130</t>
  </si>
  <si>
    <t>AL101973</t>
  </si>
  <si>
    <t>Delia</t>
  </si>
  <si>
    <t>ID_131</t>
  </si>
  <si>
    <t>AL021974</t>
  </si>
  <si>
    <t>Subtrop 1 1974</t>
  </si>
  <si>
    <t>data from tide gauge station: https://tidesandcurrents.noaa.gov/waterlevels.html?id=8726520&amp;units=standard&amp;bdate=19740620&amp;edate=19740701&amp;timezone=GMT&amp;datum=MSL&amp;interval=h&amp;action=</t>
  </si>
  <si>
    <t>ID_132</t>
  </si>
  <si>
    <t>AL101974</t>
  </si>
  <si>
    <t>Carmen</t>
  </si>
  <si>
    <t>ID_133</t>
  </si>
  <si>
    <t>AL131975</t>
  </si>
  <si>
    <t>Eloise</t>
  </si>
  <si>
    <t>Sep 13-24</t>
  </si>
  <si>
    <t>ID_134</t>
  </si>
  <si>
    <t>AL071976</t>
  </si>
  <si>
    <t>Belle</t>
  </si>
  <si>
    <t>9-Aug</t>
  </si>
  <si>
    <t>Has higher entry in database and here:https://journals.ametsoc.org/view/journals/mwre/105/4/1520-0493_1977_105_0497_ahso_2_0_co_2.xml?tab_body=pdf</t>
  </si>
  <si>
    <t>ID_135</t>
  </si>
  <si>
    <t>AL061977</t>
  </si>
  <si>
    <t>Babe</t>
  </si>
  <si>
    <t>Sep 3-9</t>
  </si>
  <si>
    <t>ID_136</t>
  </si>
  <si>
    <t>AL041978</t>
  </si>
  <si>
    <t>Amelia</t>
  </si>
  <si>
    <t>Max value observed around landfall time, data from tide gauge: https://tidesandcurrents.noaa.gov/waterlevels.html?id=8779770&amp;units=standard&amp;bdate=19780728&amp;edate=19780810&amp;timezone=GMT&amp;datum=MSL&amp;interval=h&amp;action=</t>
  </si>
  <si>
    <t>ID_137</t>
  </si>
  <si>
    <t>AL041979</t>
  </si>
  <si>
    <t>Bob</t>
  </si>
  <si>
    <t>Jul 9-16</t>
  </si>
  <si>
    <t>ID_138</t>
  </si>
  <si>
    <t>AL061979</t>
  </si>
  <si>
    <t>Claudette</t>
  </si>
  <si>
    <t>Jul 15-29</t>
  </si>
  <si>
    <t>ID_139</t>
  </si>
  <si>
    <t>AL121979</t>
  </si>
  <si>
    <t>Elena</t>
  </si>
  <si>
    <t>Aug 30- Sep 2</t>
  </si>
  <si>
    <t>ID_140</t>
  </si>
  <si>
    <t>AL091979</t>
  </si>
  <si>
    <t>David</t>
  </si>
  <si>
    <t>Aug 25- Sep 8</t>
  </si>
  <si>
    <t>prop surge: https://web.archive.org/web/20110104020243/http://www.aoml.noaa.gov/general/lib/lib1/nhclib/mwreviews/1979.pdf</t>
  </si>
  <si>
    <t>ID_141</t>
  </si>
  <si>
    <t>8/25-9/7</t>
  </si>
  <si>
    <t>ID_142</t>
  </si>
  <si>
    <t>AL111979</t>
  </si>
  <si>
    <t>Frederic</t>
  </si>
  <si>
    <t>Aug 29- Sep 15</t>
  </si>
  <si>
    <t>ID_143</t>
  </si>
  <si>
    <t>AL041980</t>
  </si>
  <si>
    <t>Allen</t>
  </si>
  <si>
    <t>Jul 31- Aug 11</t>
  </si>
  <si>
    <t>ID_144</t>
  </si>
  <si>
    <t>AL101981</t>
  </si>
  <si>
    <t>Dennis</t>
  </si>
  <si>
    <t>tide gauge data from Key West. Max value 12 hour before landfall. https://tidesandcurrents.noaa.gov/waterlevels.html?id=8724580&amp;units=standard&amp;bdate=19810812&amp;edate=19810825&amp;timezone=GMT&amp;datum=MSL&amp;interval=h&amp;action=</t>
  </si>
  <si>
    <t>ID_145</t>
  </si>
  <si>
    <t>AL021982</t>
  </si>
  <si>
    <t>Subtrop 1 1982</t>
  </si>
  <si>
    <t>tide gauge data from st. Petersburg: https://tidesandcurrents.noaa.gov/waterlevels.html?id=8726520&amp;units=standard&amp;bdate=19820615&amp;edate=19820626&amp;timezone=GMT&amp;datum=MSL&amp;interval=h&amp;action=</t>
  </si>
  <si>
    <t>ID_146</t>
  </si>
  <si>
    <t>AL051982</t>
  </si>
  <si>
    <t>Chris</t>
  </si>
  <si>
    <t>Sep 9-12</t>
  </si>
  <si>
    <t>found higher data here: https://www.weather.gov/lch/1982Chris-Surge</t>
  </si>
  <si>
    <t>ID_147</t>
  </si>
  <si>
    <t>AL031983</t>
  </si>
  <si>
    <t>Alicia</t>
  </si>
  <si>
    <t>Aug 15-21</t>
  </si>
  <si>
    <t>ID_148</t>
  </si>
  <si>
    <t>AL101984</t>
  </si>
  <si>
    <t>Diana</t>
  </si>
  <si>
    <t>9/8-9/16</t>
  </si>
  <si>
    <t>estimated as surge from: https://web.archive.org/web/20230914192238/https://www.ncei.noaa.gov/pub/orders/IPS/IPS-2167D9D9-4A60-4812-8F32-B9E855CD374C.pdf</t>
  </si>
  <si>
    <t>ID_149</t>
  </si>
  <si>
    <t>AL151984</t>
  </si>
  <si>
    <t>Isidore</t>
  </si>
  <si>
    <t>tide gauge here: Lake Worth Pier</t>
  </si>
  <si>
    <t>ID_150</t>
  </si>
  <si>
    <t>AL021985</t>
  </si>
  <si>
    <t>7/21-7/26</t>
  </si>
  <si>
    <t>manually moved to surge bc of data: chrome-extension://oemmndcbldboiebfnladdacbdfmadadm/https://www.aoml.noaa.gov/general/lib/lib1/nhclib/mwreviews/1985.pdf</t>
  </si>
  <si>
    <t>ID_151</t>
  </si>
  <si>
    <t>AL041985</t>
  </si>
  <si>
    <t>Danny</t>
  </si>
  <si>
    <t>Manually input NGVD from here: https://www.weather.gov/lch/1985Danny</t>
  </si>
  <si>
    <t>ID_152</t>
  </si>
  <si>
    <t>AL051985</t>
  </si>
  <si>
    <t>Aug 28- Sep 4</t>
  </si>
  <si>
    <t>ID_153</t>
  </si>
  <si>
    <t>AL091985</t>
  </si>
  <si>
    <t>Gloria</t>
  </si>
  <si>
    <t>9/16-10/2</t>
  </si>
  <si>
    <t>data: estimated at Neuse river: chrome-extension://oemmndcbldboiebfnladdacbdfmadadm/https://www.aoml.noaa.gov/general/lib/lib1/nhclib/mwreviews/1985.pdf</t>
  </si>
  <si>
    <t>ID_154</t>
  </si>
  <si>
    <t>ID_155</t>
  </si>
  <si>
    <t>AL121985</t>
  </si>
  <si>
    <t>Juan</t>
  </si>
  <si>
    <t>Oct 26- Nov 1</t>
  </si>
  <si>
    <t>ID_156</t>
  </si>
  <si>
    <t>AL131985</t>
  </si>
  <si>
    <t>Kate</t>
  </si>
  <si>
    <t>Nov 15-23</t>
  </si>
  <si>
    <t>ID_157</t>
  </si>
  <si>
    <t>AL021986</t>
  </si>
  <si>
    <t>Bonnie</t>
  </si>
  <si>
    <t>Jun 23-28</t>
  </si>
  <si>
    <t>ID_158</t>
  </si>
  <si>
    <t>AL051986</t>
  </si>
  <si>
    <t>Charley</t>
  </si>
  <si>
    <t>8/13-8/30</t>
  </si>
  <si>
    <t>ID_159</t>
  </si>
  <si>
    <t>AL031987</t>
  </si>
  <si>
    <t>Unnamed</t>
  </si>
  <si>
    <t>tide gauge from galveston: https://tidesandcurrents.noaa.gov/waterlevels.html?id=8771450&amp;units=standard&amp;bdate=19870805&amp;edate=19870824&amp;timezone=GMT&amp;datum=MSL&amp;interval=h&amp;action=  . I don't trust prediction here so I can't estimate surge</t>
  </si>
  <si>
    <t>ID_160</t>
  </si>
  <si>
    <t>AL131987</t>
  </si>
  <si>
    <t>Floyd</t>
  </si>
  <si>
    <t>Oct 9-14</t>
  </si>
  <si>
    <t>ID_161</t>
  </si>
  <si>
    <t>AL021988</t>
  </si>
  <si>
    <t>Beryl</t>
  </si>
  <si>
    <t>Aug 8-10</t>
  </si>
  <si>
    <t>ID_162</t>
  </si>
  <si>
    <t>AL031988</t>
  </si>
  <si>
    <t>8/21-8/29</t>
  </si>
  <si>
    <t>Changed from Tide Height Above Normal</t>
  </si>
  <si>
    <t>ID_163</t>
  </si>
  <si>
    <t>AL071988</t>
  </si>
  <si>
    <t>Sep 7-11</t>
  </si>
  <si>
    <t>ID_164</t>
  </si>
  <si>
    <t>AL081988</t>
  </si>
  <si>
    <t>Gilbert</t>
  </si>
  <si>
    <t>1.83</t>
  </si>
  <si>
    <t>Sep 8-20</t>
  </si>
  <si>
    <t>ID_165</t>
  </si>
  <si>
    <t>AL121988</t>
  </si>
  <si>
    <t>Keith</t>
  </si>
  <si>
    <t>Nov 17-26</t>
  </si>
  <si>
    <t>ID_166</t>
  </si>
  <si>
    <t>AL021989</t>
  </si>
  <si>
    <t>Allison</t>
  </si>
  <si>
    <t>Jun 24- Jul 1</t>
  </si>
  <si>
    <t>ID_167</t>
  </si>
  <si>
    <t>AL041989</t>
  </si>
  <si>
    <t>Chantal</t>
  </si>
  <si>
    <t>Jul 30- Aug 3</t>
  </si>
  <si>
    <t>ID_168</t>
  </si>
  <si>
    <t>AL111989</t>
  </si>
  <si>
    <t>Hugo</t>
  </si>
  <si>
    <t>Sep21-22</t>
  </si>
  <si>
    <t>ID_169</t>
  </si>
  <si>
    <t>AL141989</t>
  </si>
  <si>
    <t>Jerry</t>
  </si>
  <si>
    <t>Oct 12-16</t>
  </si>
  <si>
    <t>ID_170</t>
  </si>
  <si>
    <t>AL151990</t>
  </si>
  <si>
    <t>Marco</t>
  </si>
  <si>
    <t>Oct 9-13</t>
  </si>
  <si>
    <t>ID_171</t>
  </si>
  <si>
    <t>AL031991</t>
  </si>
  <si>
    <t>RI</t>
  </si>
  <si>
    <t>8/16-8/29</t>
  </si>
  <si>
    <t>ID_172</t>
  </si>
  <si>
    <t>AL041992</t>
  </si>
  <si>
    <t>Andrew</t>
  </si>
  <si>
    <t>8/16-8/28</t>
  </si>
  <si>
    <t>ID_173</t>
  </si>
  <si>
    <t>Aug 16-28</t>
  </si>
  <si>
    <t>ID_174</t>
  </si>
  <si>
    <t>AL021993</t>
  </si>
  <si>
    <t>Jun 18-21</t>
  </si>
  <si>
    <t>ID_175</t>
  </si>
  <si>
    <t>AL051993</t>
  </si>
  <si>
    <t>Emily</t>
  </si>
  <si>
    <t>8/31-9/1</t>
  </si>
  <si>
    <t>Changed from Above MSL</t>
  </si>
  <si>
    <t>ID_176</t>
  </si>
  <si>
    <t>AL011994</t>
  </si>
  <si>
    <t>Alberto</t>
  </si>
  <si>
    <t>Jun 30- Jul 7</t>
  </si>
  <si>
    <t>ID_177</t>
  </si>
  <si>
    <t>AL031994</t>
  </si>
  <si>
    <t>Aug 14-19</t>
  </si>
  <si>
    <t>Changed from Normal Astronomical Tide</t>
  </si>
  <si>
    <t>ID_178</t>
  </si>
  <si>
    <t>AL121994</t>
  </si>
  <si>
    <t>Gordon</t>
  </si>
  <si>
    <t>11/8-11/21</t>
  </si>
  <si>
    <t>ID_179</t>
  </si>
  <si>
    <t>AL011995</t>
  </si>
  <si>
    <t>Jun 3-11</t>
  </si>
  <si>
    <t>ID_180</t>
  </si>
  <si>
    <t>AL041995</t>
  </si>
  <si>
    <t>Dean</t>
  </si>
  <si>
    <t>Jul 31- Aug 6</t>
  </si>
  <si>
    <t>Datum changed from here: https://www.nhc.noaa.gov/archive/storm_wallets/atlantic/atl1995/dean/preloc/galvestn.gif</t>
  </si>
  <si>
    <t>ID_181</t>
  </si>
  <si>
    <t>AL051995</t>
  </si>
  <si>
    <t>Erin</t>
  </si>
  <si>
    <t>ID_182</t>
  </si>
  <si>
    <t>data from : chrome-extension://oemmndcbldboiebfnladdacbdfmadadm/https://www.nhc.noaa.gov/data/tcr/AL051995_Erin.pdf weird in database</t>
  </si>
  <si>
    <t>ID_183</t>
  </si>
  <si>
    <t>AL111995</t>
  </si>
  <si>
    <t>Aug 22-28</t>
  </si>
  <si>
    <t>chrome-extension://oemmndcbldboiebfnladdacbdfmadadm/https://www.nhc.noaa.gov/data/tcr/AL111995_Jerry.pdf</t>
  </si>
  <si>
    <t>ID_184</t>
  </si>
  <si>
    <t>AL171995</t>
  </si>
  <si>
    <t>Opal</t>
  </si>
  <si>
    <t>ID_185</t>
  </si>
  <si>
    <t>AL021996</t>
  </si>
  <si>
    <t>Bertha</t>
  </si>
  <si>
    <t>Jul 5 -14</t>
  </si>
  <si>
    <t>surge data from here: chrome-extension://oemmndcbldboiebfnladdacbdfmadadm/https://www.weather.gov/media/erh/ta/ta98-1.pdf</t>
  </si>
  <si>
    <t>ID_186</t>
  </si>
  <si>
    <t>AL061996</t>
  </si>
  <si>
    <t>Fran</t>
  </si>
  <si>
    <t>ID_187</t>
  </si>
  <si>
    <t>AL101996</t>
  </si>
  <si>
    <t>Josephine</t>
  </si>
  <si>
    <t>Oct 4-8</t>
  </si>
  <si>
    <t>ID_188</t>
  </si>
  <si>
    <t>AL051997</t>
  </si>
  <si>
    <t>Jul 16-27</t>
  </si>
  <si>
    <t>ID_189</t>
  </si>
  <si>
    <t>AL031998</t>
  </si>
  <si>
    <t>Aug 21-24</t>
  </si>
  <si>
    <t>ID_190</t>
  </si>
  <si>
    <t>AL021998</t>
  </si>
  <si>
    <t>ID_191</t>
  </si>
  <si>
    <t>AL051998</t>
  </si>
  <si>
    <t>Earl</t>
  </si>
  <si>
    <t>Aug 31- Sep 8</t>
  </si>
  <si>
    <t>chrome-extension://oemmndcbldboiebfnladdacbdfmadadm/https://www.nhc.noaa.gov/data/tcr/AL051998_Earl.pdf</t>
  </si>
  <si>
    <t>ID_192</t>
  </si>
  <si>
    <t>AL061998</t>
  </si>
  <si>
    <t>Frances</t>
  </si>
  <si>
    <t>Sep 8-13</t>
  </si>
  <si>
    <t>ID_193</t>
  </si>
  <si>
    <t>AL071998</t>
  </si>
  <si>
    <t>Georges</t>
  </si>
  <si>
    <t>Sep 15- Oct 1</t>
  </si>
  <si>
    <t>ID_194</t>
  </si>
  <si>
    <t>ID_195</t>
  </si>
  <si>
    <t>AL131998</t>
  </si>
  <si>
    <t>Mitch</t>
  </si>
  <si>
    <t>Oct 22- Nov 9</t>
  </si>
  <si>
    <t>ID_196</t>
  </si>
  <si>
    <t>AL031999</t>
  </si>
  <si>
    <t>Bret</t>
  </si>
  <si>
    <t>Aug 18-25</t>
  </si>
  <si>
    <t>ID_197</t>
  </si>
  <si>
    <t>AL051999</t>
  </si>
  <si>
    <t>Aug 24 - Sep 8</t>
  </si>
  <si>
    <t>Indicate tide, may have other data as well: chrome-extension://oemmndcbldboiebfnladdacbdfmadadm/https://www.nhc.noaa.gov/data/tcr/AL051999_Dennis.pdf</t>
  </si>
  <si>
    <t>ID_198</t>
  </si>
  <si>
    <t>AL081999</t>
  </si>
  <si>
    <t>Sep 7 - 19</t>
  </si>
  <si>
    <t>ID_199</t>
  </si>
  <si>
    <t>AL101999</t>
  </si>
  <si>
    <t>Harvey</t>
  </si>
  <si>
    <t>Sep 19-22</t>
  </si>
  <si>
    <t>ID_200</t>
  </si>
  <si>
    <t>AL131999</t>
  </si>
  <si>
    <t>Irene</t>
  </si>
  <si>
    <t>Oct 12-19</t>
  </si>
  <si>
    <t>ID_201</t>
  </si>
  <si>
    <t>AL112000</t>
  </si>
  <si>
    <t>Sep 14-21</t>
  </si>
  <si>
    <t>ID_202</t>
  </si>
  <si>
    <t>AL122000</t>
  </si>
  <si>
    <t>Sep 15-25</t>
  </si>
  <si>
    <t>ID_203</t>
  </si>
  <si>
    <t>AL012001</t>
  </si>
  <si>
    <t>Jun 5-19</t>
  </si>
  <si>
    <t>ID_204</t>
  </si>
  <si>
    <t>AL032001</t>
  </si>
  <si>
    <t>Barry</t>
  </si>
  <si>
    <t>Aug 2-8</t>
  </si>
  <si>
    <t>ID_205</t>
  </si>
  <si>
    <t>AL082001</t>
  </si>
  <si>
    <t>Gabrielle</t>
  </si>
  <si>
    <t>9/11-9/21</t>
  </si>
  <si>
    <t>ID_206</t>
  </si>
  <si>
    <t>AL062002</t>
  </si>
  <si>
    <t>Fay</t>
  </si>
  <si>
    <t>Sep 5-11</t>
  </si>
  <si>
    <t>ID_207</t>
  </si>
  <si>
    <t>AL082002</t>
  </si>
  <si>
    <t>Gustav</t>
  </si>
  <si>
    <t>Sep 8 - 15</t>
  </si>
  <si>
    <t>data indicate surge only: chrome-extension://oemmndcbldboiebfnladdacbdfmadadm/https://www.nhc.noaa.gov/data/tcr/AL082002_Gustav.pdf</t>
  </si>
  <si>
    <t>ID_208</t>
  </si>
  <si>
    <t>AL092002</t>
  </si>
  <si>
    <t>Hanna</t>
  </si>
  <si>
    <t>Sep 12-15</t>
  </si>
  <si>
    <t>ID_209</t>
  </si>
  <si>
    <t>AL102002</t>
  </si>
  <si>
    <t>Sep 14-27</t>
  </si>
  <si>
    <t>ID_210</t>
  </si>
  <si>
    <t>AL132002</t>
  </si>
  <si>
    <t>Lili</t>
  </si>
  <si>
    <t>Sep 21- Oct 4</t>
  </si>
  <si>
    <t>ID_211</t>
  </si>
  <si>
    <t>AL122002</t>
  </si>
  <si>
    <t>Kyle</t>
  </si>
  <si>
    <t>9/20-10/12</t>
  </si>
  <si>
    <t>ID_212</t>
  </si>
  <si>
    <t>AL032003</t>
  </si>
  <si>
    <t>Bill</t>
  </si>
  <si>
    <t>Jun 28- Jul 3</t>
  </si>
  <si>
    <t>ID_213</t>
  </si>
  <si>
    <t>AL042003</t>
  </si>
  <si>
    <t>Jul 7-17</t>
  </si>
  <si>
    <t>ID_214</t>
  </si>
  <si>
    <t>AL132003</t>
  </si>
  <si>
    <t>Isabel</t>
  </si>
  <si>
    <t>9/25/03</t>
  </si>
  <si>
    <t>ID_215</t>
  </si>
  <si>
    <t>AL012004</t>
  </si>
  <si>
    <t>Alex</t>
  </si>
  <si>
    <t>Jul 31 - Aug 6</t>
  </si>
  <si>
    <t>Im not sure I trust that tide is 0. Data is here for surge: chrome-extension://oemmndcbldboiebfnladdacbdfmadadm/https://www.nhc.noaa.gov/data/tcr/AL012004_Alex.pdf</t>
  </si>
  <si>
    <t>ID_216</t>
  </si>
  <si>
    <t>AL032004</t>
  </si>
  <si>
    <t>Aug 9-15</t>
  </si>
  <si>
    <t>ID_217</t>
  </si>
  <si>
    <t>Aug 9 - 15</t>
  </si>
  <si>
    <t>maybe surge: this data seems better: chrome-extension://oemmndcbldboiebfnladdacbdfmadadm/https://www.nhc.noaa.gov/data/tcr/AL032004_Charley.pdf</t>
  </si>
  <si>
    <t>ID_218</t>
  </si>
  <si>
    <t>AL072004</t>
  </si>
  <si>
    <t>Gaston</t>
  </si>
  <si>
    <t>8/27-9/1</t>
  </si>
  <si>
    <t>ID_219</t>
  </si>
  <si>
    <t>AL062004</t>
  </si>
  <si>
    <t>Aug 25- Sep 10</t>
  </si>
  <si>
    <t>maybe reference level is weird otherwise data here: chrome-extension://oemmndcbldboiebfnladdacbdfmadadm/https://www.nhc.noaa.gov/data/tcr/AL062004_Frances.pdf</t>
  </si>
  <si>
    <t>ID_220</t>
  </si>
  <si>
    <t>AL092004</t>
  </si>
  <si>
    <t>Ivan</t>
  </si>
  <si>
    <t>Sep 2-24</t>
  </si>
  <si>
    <t>ID_221</t>
  </si>
  <si>
    <t>AL112004</t>
  </si>
  <si>
    <t>Jeanne</t>
  </si>
  <si>
    <t>Sep 13-29</t>
  </si>
  <si>
    <t>ID_222</t>
  </si>
  <si>
    <t>AL032005</t>
  </si>
  <si>
    <t>Jul 3-11</t>
  </si>
  <si>
    <t>ID_223</t>
  </si>
  <si>
    <t>AL042005</t>
  </si>
  <si>
    <t>NAVD88</t>
  </si>
  <si>
    <t>Jul 4-18</t>
  </si>
  <si>
    <t>ID_224</t>
  </si>
  <si>
    <t>AL122005</t>
  </si>
  <si>
    <t>Katrina</t>
  </si>
  <si>
    <t>Aug 23-31</t>
  </si>
  <si>
    <t>ID_225</t>
  </si>
  <si>
    <t>AL162005</t>
  </si>
  <si>
    <t>Ophelia</t>
  </si>
  <si>
    <t>9/6-9/17</t>
  </si>
  <si>
    <t>ID_226</t>
  </si>
  <si>
    <t>AL182005</t>
  </si>
  <si>
    <t>Rita</t>
  </si>
  <si>
    <t>Sep 18-26</t>
  </si>
  <si>
    <t>ID_227</t>
  </si>
  <si>
    <t>AL252005</t>
  </si>
  <si>
    <t>Wilma</t>
  </si>
  <si>
    <t>Oct 15-26</t>
  </si>
  <si>
    <t>ID_228</t>
  </si>
  <si>
    <t>AL062006</t>
  </si>
  <si>
    <t>Ernesto</t>
  </si>
  <si>
    <t>Aug 24- Sep 4</t>
  </si>
  <si>
    <t>ID_229</t>
  </si>
  <si>
    <t>AL092007</t>
  </si>
  <si>
    <t>Humberto</t>
  </si>
  <si>
    <t>Sep 12-14</t>
  </si>
  <si>
    <t>ID_230</t>
  </si>
  <si>
    <t>AL042008</t>
  </si>
  <si>
    <t>Dolly</t>
  </si>
  <si>
    <t>Jul 20-27</t>
  </si>
  <si>
    <t>ID_231</t>
  </si>
  <si>
    <t>AL062008</t>
  </si>
  <si>
    <t>8/15-8/28</t>
  </si>
  <si>
    <t>Changed from Normal Astronomical Tides</t>
  </si>
  <si>
    <t>ID_232</t>
  </si>
  <si>
    <t>AL072008</t>
  </si>
  <si>
    <t>Aug 25- Sep 5</t>
  </si>
  <si>
    <t>ID_233</t>
  </si>
  <si>
    <t>AL082008</t>
  </si>
  <si>
    <t>Aug 28 - Sep 8</t>
  </si>
  <si>
    <t>data here: chrome-extension://oemmndcbldboiebfnladdacbdfmadadm/https://www.nhc.noaa.gov/data/tcr/AL082008_Hanna.pdf</t>
  </si>
  <si>
    <t>ID_234</t>
  </si>
  <si>
    <t>AL092008</t>
  </si>
  <si>
    <t>Ike</t>
  </si>
  <si>
    <t>Sep 1-15</t>
  </si>
  <si>
    <t>ID_235</t>
  </si>
  <si>
    <t>AL012010</t>
  </si>
  <si>
    <t>is a bit off from 2 deg, because lf in mexico. however data here: https://tidesandcurrents.noaa.gov/waterlevels.html?id=8779770&amp;units=standard&amp;bdate=20100626&amp;edate=20100710&amp;timezone=GMT&amp;datum=MSL&amp;interval=h&amp;action=</t>
  </si>
  <si>
    <t>ID_236</t>
  </si>
  <si>
    <t>AL072010</t>
  </si>
  <si>
    <t>Aug 24 - Sep 6</t>
  </si>
  <si>
    <t>found higher data here: https://web.archive.org/web/20180725111228/http://www.wx1box.org/files/nws_moorehead_city_pns.txt data from hatteras tide station: https://tidesandcurrents.noaa.gov/waterlevels.html?id=8654467&amp;units=standard&amp;bdate=20100825&amp;edate=20100915&amp;timezone=GMT&amp;datum=MSL&amp;interval=h&amp;action=</t>
  </si>
  <si>
    <t>ID_237</t>
  </si>
  <si>
    <t>AL102010</t>
  </si>
  <si>
    <t>Hermine</t>
  </si>
  <si>
    <t>Sep 6-9</t>
  </si>
  <si>
    <t>ID_238</t>
  </si>
  <si>
    <t>AL092011</t>
  </si>
  <si>
    <t>8/27/11</t>
  </si>
  <si>
    <t>ID_239</t>
  </si>
  <si>
    <t>AL092012</t>
  </si>
  <si>
    <t>Isaac</t>
  </si>
  <si>
    <t>Aug 21- Sep 1</t>
  </si>
  <si>
    <t>ID_240</t>
  </si>
  <si>
    <t>AL182012</t>
  </si>
  <si>
    <t>Sandy</t>
  </si>
  <si>
    <t>ID_241</t>
  </si>
  <si>
    <t>AL012014</t>
  </si>
  <si>
    <t>Arthur</t>
  </si>
  <si>
    <t>ID_242</t>
  </si>
  <si>
    <t>AL092016</t>
  </si>
  <si>
    <t>ID_243</t>
  </si>
  <si>
    <t>AL142016</t>
  </si>
  <si>
    <t>Matthew</t>
  </si>
  <si>
    <t>ID_244</t>
  </si>
  <si>
    <t>AL092017</t>
  </si>
  <si>
    <t>ID_245</t>
  </si>
  <si>
    <t>AL112017</t>
  </si>
  <si>
    <t>Irma</t>
  </si>
  <si>
    <t>ID_246</t>
  </si>
  <si>
    <t>AL162017</t>
  </si>
  <si>
    <t>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</si>
</sst>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name val="Calibri"/>
    </font>
    <font>
      <sz val="10"/>
      <color rgb="FF000000"/>
      <name val="Courier New"/>
      <charset val="1"/>
    </font>
    <font>
      <sz val="11"/>
      <color rgb="FF242424"/>
      <name val="Aptos Narrow"/>
      <charset val="1"/>
    </font>
    <font>
      <b/>
      <sz val="11"/>
      <color theme="1"/>
      <name val="Calibri"/>
      <family val="2"/>
      <scheme val="minor"/>
    </font>
    <font>
      <sz val="11"/>
      <color rgb="FFBFBFBF"/>
      <name val="Arial"/>
      <family val="2"/>
      <charset val="1"/>
    </font>
    <font>
      <u/>
      <sz val="11"/>
      <color theme="10"/>
      <name val="Calibri"/>
      <family val="2"/>
      <scheme val="minor"/>
    </font>
    <font>
      <sz val="11"/>
      <color rgb="FF333333"/>
      <name val="Ubuntu"/>
      <charset val="1"/>
    </font>
    <font>
      <sz val="10"/>
      <color rgb="FF00000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0" fontId="0" fillId="4" borderId="0" xfId="0" applyFill="1"/>
    <xf numFmtId="0" fontId="3" fillId="4" borderId="0" xfId="0" applyFont="1" applyFill="1"/>
    <xf numFmtId="0" fontId="3" fillId="0" borderId="0" xfId="0" applyFont="1"/>
    <xf numFmtId="0" fontId="4" fillId="0" borderId="0" xfId="0" applyFont="1" applyAlignment="1">
      <alignment wrapText="1"/>
    </xf>
    <xf numFmtId="0" fontId="0" fillId="5" borderId="0" xfId="0" applyFill="1"/>
    <xf numFmtId="164" fontId="0" fillId="5" borderId="0" xfId="0" applyNumberFormat="1" applyFill="1"/>
    <xf numFmtId="0" fontId="0" fillId="6" borderId="0" xfId="0" applyFill="1"/>
    <xf numFmtId="164" fontId="0" fillId="6" borderId="0" xfId="0" applyNumberFormat="1" applyFill="1"/>
    <xf numFmtId="164" fontId="0" fillId="4" borderId="0" xfId="0" applyNumberFormat="1" applyFill="1"/>
    <xf numFmtId="0" fontId="0" fillId="7" borderId="0" xfId="0" applyFill="1"/>
    <xf numFmtId="164" fontId="0" fillId="7" borderId="0" xfId="0" applyNumberFormat="1" applyFill="1"/>
    <xf numFmtId="0" fontId="5" fillId="0" borderId="0" xfId="0" applyFont="1"/>
    <xf numFmtId="0" fontId="0" fillId="8" borderId="0" xfId="0" applyFill="1"/>
    <xf numFmtId="0" fontId="4" fillId="0" borderId="0" xfId="0" applyFont="1"/>
    <xf numFmtId="0" fontId="6" fillId="0" borderId="0" xfId="0" applyFont="1"/>
    <xf numFmtId="0" fontId="7" fillId="0" borderId="0" xfId="1"/>
    <xf numFmtId="0" fontId="8" fillId="0" borderId="0" xfId="0" applyFont="1"/>
    <xf numFmtId="0" fontId="9" fillId="0" borderId="0" xfId="0" applyFont="1"/>
    <xf numFmtId="0" fontId="0" fillId="0" borderId="0" xfId="0" applyAlignment="1">
      <alignment wrapText="1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eather.gov/mhx/HurricaneDiane19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44"/>
  <sheetViews>
    <sheetView tabSelected="1" topLeftCell="A128" workbookViewId="0">
      <selection activeCell="T159" sqref="T159"/>
    </sheetView>
  </sheetViews>
  <sheetFormatPr defaultRowHeight="15"/>
  <cols>
    <col min="6" max="6" width="9.28515625" bestFit="1" customWidth="1"/>
    <col min="8" max="8" width="19.5703125" bestFit="1" customWidth="1"/>
    <col min="15" max="15" width="9.28515625" bestFit="1" customWidth="1"/>
    <col min="17" max="17" width="19.5703125" bestFit="1" customWidth="1"/>
    <col min="19" max="19" width="17" customWidth="1"/>
    <col min="20" max="20" width="19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8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>
        <v>1900</v>
      </c>
      <c r="E2" t="s">
        <v>24</v>
      </c>
      <c r="F2">
        <v>29.171099999999999</v>
      </c>
      <c r="G2">
        <v>-95.201799999999992</v>
      </c>
      <c r="H2" s="2">
        <v>253.10416666666671</v>
      </c>
      <c r="L2">
        <v>6.1</v>
      </c>
      <c r="M2">
        <v>20</v>
      </c>
      <c r="N2">
        <v>0.53019999999999001</v>
      </c>
      <c r="O2">
        <v>29.288900000000002</v>
      </c>
      <c r="P2">
        <v>-94.789400000000001</v>
      </c>
      <c r="Q2" s="2">
        <v>240</v>
      </c>
      <c r="R2" s="2">
        <v>259</v>
      </c>
      <c r="S2" t="s">
        <v>25</v>
      </c>
      <c r="T2" t="s">
        <v>26</v>
      </c>
      <c r="U2" t="s">
        <v>27</v>
      </c>
    </row>
    <row r="3" spans="1:21">
      <c r="A3" t="s">
        <v>28</v>
      </c>
      <c r="B3" t="s">
        <v>29</v>
      </c>
      <c r="C3" t="s">
        <v>30</v>
      </c>
      <c r="D3">
        <v>1901</v>
      </c>
      <c r="E3" t="s">
        <v>31</v>
      </c>
      <c r="F3">
        <v>29.266666666666669</v>
      </c>
      <c r="G3">
        <v>-89.633333333333326</v>
      </c>
      <c r="H3" s="2">
        <v>592.85416666666663</v>
      </c>
      <c r="L3">
        <v>2.44</v>
      </c>
      <c r="M3">
        <v>8</v>
      </c>
      <c r="N3">
        <v>0.71229999999999194</v>
      </c>
      <c r="O3">
        <v>29.0169</v>
      </c>
      <c r="P3">
        <v>-89.1708</v>
      </c>
      <c r="Q3" s="2">
        <v>580</v>
      </c>
      <c r="R3" s="2">
        <v>596</v>
      </c>
      <c r="S3" t="s">
        <v>32</v>
      </c>
      <c r="T3" t="s">
        <v>26</v>
      </c>
      <c r="U3" t="s">
        <v>33</v>
      </c>
    </row>
    <row r="4" spans="1:21">
      <c r="A4" t="s">
        <v>34</v>
      </c>
      <c r="B4" t="s">
        <v>35</v>
      </c>
      <c r="C4" t="s">
        <v>36</v>
      </c>
      <c r="D4">
        <v>1903</v>
      </c>
      <c r="E4" t="s">
        <v>37</v>
      </c>
      <c r="F4">
        <v>26.1</v>
      </c>
      <c r="G4">
        <v>-80.099999999999994</v>
      </c>
      <c r="H4" s="2">
        <v>1350.958333333333</v>
      </c>
      <c r="J4" s="3" t="s">
        <v>38</v>
      </c>
      <c r="K4" s="3"/>
      <c r="L4" s="3">
        <v>2.4224000000000001</v>
      </c>
      <c r="M4" s="3"/>
      <c r="N4" s="3">
        <v>0.8618999999999879</v>
      </c>
      <c r="O4">
        <v>26.935199999999998</v>
      </c>
      <c r="P4">
        <v>-80.073300000000003</v>
      </c>
      <c r="Q4" s="4">
        <v>1348</v>
      </c>
      <c r="R4" s="4">
        <v>1355</v>
      </c>
      <c r="S4" s="3" t="s">
        <v>39</v>
      </c>
      <c r="T4" s="3" t="s">
        <v>26</v>
      </c>
    </row>
    <row r="5" spans="1:21">
      <c r="A5" t="s">
        <v>40</v>
      </c>
      <c r="B5" t="s">
        <v>35</v>
      </c>
      <c r="C5" t="s">
        <v>36</v>
      </c>
      <c r="D5">
        <v>1903</v>
      </c>
      <c r="E5" t="s">
        <v>37</v>
      </c>
      <c r="F5">
        <v>29.7989</v>
      </c>
      <c r="G5">
        <v>-85.4572</v>
      </c>
      <c r="H5" s="2">
        <v>1352.875</v>
      </c>
      <c r="J5" s="3"/>
      <c r="K5" s="3"/>
      <c r="L5" s="3">
        <v>3.05</v>
      </c>
      <c r="M5" s="3">
        <v>10</v>
      </c>
      <c r="N5" s="3">
        <v>0.55410000000000181</v>
      </c>
      <c r="O5">
        <v>29.7209</v>
      </c>
      <c r="P5">
        <v>-84.981099999999998</v>
      </c>
      <c r="Q5" s="4">
        <v>1348</v>
      </c>
      <c r="R5" s="4">
        <v>1355</v>
      </c>
      <c r="S5" s="3" t="s">
        <v>41</v>
      </c>
      <c r="T5" s="3" t="s">
        <v>26</v>
      </c>
    </row>
    <row r="6" spans="1:21">
      <c r="A6" t="s">
        <v>42</v>
      </c>
      <c r="B6" t="s">
        <v>43</v>
      </c>
      <c r="C6" t="s">
        <v>44</v>
      </c>
      <c r="D6">
        <v>1906</v>
      </c>
      <c r="E6" t="s">
        <v>45</v>
      </c>
      <c r="F6">
        <v>30.4</v>
      </c>
      <c r="G6">
        <v>-88.7</v>
      </c>
      <c r="H6" s="2">
        <v>2462.5</v>
      </c>
      <c r="L6">
        <v>4.2699999999999996</v>
      </c>
      <c r="M6">
        <v>14</v>
      </c>
      <c r="N6">
        <v>1.742799999999995</v>
      </c>
      <c r="O6">
        <v>30.357500000000002</v>
      </c>
      <c r="P6">
        <v>-86.999700000000004</v>
      </c>
      <c r="Q6" s="2">
        <v>2454</v>
      </c>
      <c r="R6" s="2">
        <v>2465</v>
      </c>
      <c r="S6" t="s">
        <v>46</v>
      </c>
      <c r="T6" t="s">
        <v>26</v>
      </c>
    </row>
    <row r="7" spans="1:21">
      <c r="A7" t="s">
        <v>47</v>
      </c>
      <c r="B7" t="s">
        <v>48</v>
      </c>
      <c r="C7" t="s">
        <v>49</v>
      </c>
      <c r="D7">
        <v>1906</v>
      </c>
      <c r="E7" t="s">
        <v>37</v>
      </c>
      <c r="F7">
        <v>25.15</v>
      </c>
      <c r="G7">
        <v>-80.8</v>
      </c>
      <c r="H7" s="2">
        <v>2483.479166666667</v>
      </c>
      <c r="J7" s="5" t="s">
        <v>50</v>
      </c>
      <c r="K7" s="5"/>
      <c r="L7" s="5">
        <v>2.13</v>
      </c>
      <c r="M7" s="5"/>
      <c r="N7" s="5">
        <v>5.2471000000000068</v>
      </c>
      <c r="O7">
        <v>29.892700000000001</v>
      </c>
      <c r="P7">
        <v>-81.304400000000001</v>
      </c>
      <c r="Q7" s="6">
        <v>2473</v>
      </c>
      <c r="R7" s="6">
        <v>2488</v>
      </c>
      <c r="S7" s="5" t="s">
        <v>51</v>
      </c>
      <c r="T7" s="5" t="s">
        <v>52</v>
      </c>
      <c r="U7" s="7" t="s">
        <v>53</v>
      </c>
    </row>
    <row r="8" spans="1:21">
      <c r="A8" t="s">
        <v>54</v>
      </c>
      <c r="B8" t="s">
        <v>55</v>
      </c>
      <c r="C8" t="s">
        <v>56</v>
      </c>
      <c r="D8">
        <v>1909</v>
      </c>
      <c r="E8" t="s">
        <v>24</v>
      </c>
      <c r="F8">
        <v>28.9</v>
      </c>
      <c r="G8">
        <v>-95.3</v>
      </c>
      <c r="H8" s="2">
        <v>3490.708333333333</v>
      </c>
      <c r="L8">
        <v>3.05</v>
      </c>
      <c r="M8">
        <v>10</v>
      </c>
      <c r="N8">
        <v>0.42000000000000171</v>
      </c>
      <c r="O8">
        <v>29.1081</v>
      </c>
      <c r="P8">
        <v>-95.088099999999997</v>
      </c>
      <c r="Q8" s="2">
        <v>3482</v>
      </c>
      <c r="R8" s="2">
        <v>3491</v>
      </c>
      <c r="S8" t="s">
        <v>57</v>
      </c>
      <c r="T8" t="s">
        <v>26</v>
      </c>
    </row>
    <row r="9" spans="1:21">
      <c r="A9" t="s">
        <v>58</v>
      </c>
      <c r="B9" t="s">
        <v>59</v>
      </c>
      <c r="C9" t="s">
        <v>60</v>
      </c>
      <c r="D9">
        <v>1909</v>
      </c>
      <c r="E9" t="s">
        <v>31</v>
      </c>
      <c r="F9">
        <v>29.5</v>
      </c>
      <c r="G9">
        <v>-91.3</v>
      </c>
      <c r="H9" s="2">
        <v>3552</v>
      </c>
      <c r="I9" t="s">
        <v>61</v>
      </c>
      <c r="L9">
        <v>4.5720000000000001</v>
      </c>
      <c r="M9">
        <v>15</v>
      </c>
      <c r="N9">
        <v>0.89649999999999253</v>
      </c>
      <c r="O9">
        <v>29.234300000000001</v>
      </c>
      <c r="P9">
        <v>-90.669200000000004</v>
      </c>
      <c r="Q9" s="2">
        <v>3544</v>
      </c>
      <c r="R9" s="2">
        <v>3553</v>
      </c>
      <c r="S9" t="s">
        <v>62</v>
      </c>
      <c r="T9" t="s">
        <v>26</v>
      </c>
    </row>
    <row r="10" spans="1:21">
      <c r="A10" t="s">
        <v>63</v>
      </c>
      <c r="B10" t="s">
        <v>64</v>
      </c>
      <c r="C10" t="s">
        <v>65</v>
      </c>
      <c r="D10">
        <v>1909</v>
      </c>
      <c r="E10" t="s">
        <v>37</v>
      </c>
      <c r="F10">
        <v>25.107933333333339</v>
      </c>
      <c r="G10">
        <v>-80.304400000000001</v>
      </c>
      <c r="H10" s="2">
        <v>3572.833333333333</v>
      </c>
      <c r="T10" t="s">
        <v>66</v>
      </c>
    </row>
    <row r="11" spans="1:21">
      <c r="A11" t="s">
        <v>67</v>
      </c>
      <c r="B11" t="s">
        <v>68</v>
      </c>
      <c r="C11" t="s">
        <v>69</v>
      </c>
      <c r="D11">
        <v>1910</v>
      </c>
      <c r="E11" t="s">
        <v>37</v>
      </c>
      <c r="F11">
        <v>26.5</v>
      </c>
      <c r="G11">
        <v>-82</v>
      </c>
      <c r="H11" s="2">
        <v>3944.25</v>
      </c>
      <c r="J11" s="5"/>
      <c r="K11" s="5"/>
      <c r="L11" s="5">
        <v>4.57</v>
      </c>
      <c r="M11" s="5">
        <v>15</v>
      </c>
      <c r="N11" s="5">
        <v>2.1519000000000048</v>
      </c>
      <c r="O11">
        <v>24.5456</v>
      </c>
      <c r="P11">
        <v>-81.802499999999995</v>
      </c>
      <c r="Q11" s="6">
        <v>3935</v>
      </c>
      <c r="R11" s="6">
        <v>3949</v>
      </c>
      <c r="S11" s="5" t="s">
        <v>70</v>
      </c>
      <c r="T11" s="5" t="s">
        <v>52</v>
      </c>
      <c r="U11" t="s">
        <v>71</v>
      </c>
    </row>
    <row r="12" spans="1:21">
      <c r="A12" t="s">
        <v>72</v>
      </c>
      <c r="B12" t="s">
        <v>73</v>
      </c>
      <c r="C12" t="s">
        <v>74</v>
      </c>
      <c r="D12">
        <v>1911</v>
      </c>
      <c r="E12" t="s">
        <v>75</v>
      </c>
      <c r="F12">
        <v>32.200000000000003</v>
      </c>
      <c r="G12">
        <v>-80.7</v>
      </c>
      <c r="H12" s="2">
        <v>4258.416666666667</v>
      </c>
      <c r="I12" t="s">
        <v>76</v>
      </c>
      <c r="J12" s="7"/>
      <c r="K12" s="7"/>
      <c r="L12" s="7">
        <v>3.23</v>
      </c>
      <c r="M12" s="7">
        <v>10.6</v>
      </c>
      <c r="N12" s="7">
        <f>ABS(F12-O12)+ABS(G12-P12)</f>
        <v>1.3536427593720077</v>
      </c>
      <c r="O12" s="26">
        <v>32.776307235005703</v>
      </c>
      <c r="P12">
        <v>-79.922664475633695</v>
      </c>
      <c r="Q12" s="7"/>
      <c r="R12" s="7"/>
      <c r="S12" s="7"/>
      <c r="T12" s="7" t="s">
        <v>26</v>
      </c>
      <c r="U12" s="8" t="s">
        <v>77</v>
      </c>
    </row>
    <row r="13" spans="1:21">
      <c r="A13" t="s">
        <v>78</v>
      </c>
      <c r="B13" t="s">
        <v>79</v>
      </c>
      <c r="C13" t="s">
        <v>80</v>
      </c>
      <c r="D13">
        <v>1913</v>
      </c>
      <c r="E13" t="s">
        <v>81</v>
      </c>
      <c r="F13">
        <v>34.749899999999997</v>
      </c>
      <c r="G13">
        <v>-76.744699999999995</v>
      </c>
      <c r="H13" s="2">
        <v>4995.375</v>
      </c>
      <c r="J13" s="7"/>
      <c r="K13" s="7"/>
      <c r="L13" s="7"/>
      <c r="M13" s="7"/>
      <c r="N13" s="7"/>
      <c r="O13" s="21"/>
      <c r="P13" s="21"/>
      <c r="Q13" s="7"/>
      <c r="R13" s="7"/>
      <c r="S13" s="7"/>
      <c r="T13" s="7" t="s">
        <v>66</v>
      </c>
      <c r="U13" s="8" t="s">
        <v>82</v>
      </c>
    </row>
    <row r="14" spans="1:21">
      <c r="A14" t="s">
        <v>83</v>
      </c>
      <c r="B14" t="s">
        <v>84</v>
      </c>
      <c r="C14" t="s">
        <v>23</v>
      </c>
      <c r="D14">
        <v>1915</v>
      </c>
      <c r="E14" t="s">
        <v>24</v>
      </c>
      <c r="F14">
        <v>29.2</v>
      </c>
      <c r="G14">
        <v>-95.1</v>
      </c>
      <c r="H14" s="2">
        <v>5708.291666666667</v>
      </c>
      <c r="L14">
        <v>4.72</v>
      </c>
      <c r="M14">
        <v>15.5</v>
      </c>
      <c r="N14">
        <v>0.39949999999999619</v>
      </c>
      <c r="O14">
        <v>29.288900000000002</v>
      </c>
      <c r="P14">
        <v>-94.789400000000001</v>
      </c>
      <c r="Q14" s="2">
        <v>5696</v>
      </c>
      <c r="R14" s="2">
        <v>5714</v>
      </c>
      <c r="S14" t="s">
        <v>85</v>
      </c>
      <c r="T14" t="s">
        <v>26</v>
      </c>
    </row>
    <row r="15" spans="1:21">
      <c r="A15" t="s">
        <v>86</v>
      </c>
      <c r="B15" t="s">
        <v>87</v>
      </c>
      <c r="C15" t="s">
        <v>88</v>
      </c>
      <c r="D15">
        <v>1915</v>
      </c>
      <c r="E15" t="s">
        <v>31</v>
      </c>
      <c r="F15">
        <v>29.27495</v>
      </c>
      <c r="G15">
        <v>-90.301500000000004</v>
      </c>
      <c r="H15" s="2">
        <v>5751.8125</v>
      </c>
      <c r="L15">
        <v>5.18</v>
      </c>
      <c r="M15">
        <v>17</v>
      </c>
      <c r="N15">
        <v>0.70454999999999757</v>
      </c>
      <c r="O15">
        <v>29.579699999999999</v>
      </c>
      <c r="P15">
        <v>-89.901700000000005</v>
      </c>
      <c r="Q15" s="2">
        <v>5743</v>
      </c>
      <c r="R15" s="2">
        <v>5753</v>
      </c>
      <c r="S15" t="s">
        <v>89</v>
      </c>
      <c r="T15" t="s">
        <v>26</v>
      </c>
    </row>
    <row r="16" spans="1:21">
      <c r="A16" t="s">
        <v>90</v>
      </c>
      <c r="B16" t="s">
        <v>91</v>
      </c>
      <c r="C16" t="s">
        <v>92</v>
      </c>
      <c r="D16">
        <v>1916</v>
      </c>
      <c r="E16" t="s">
        <v>93</v>
      </c>
      <c r="F16">
        <v>30.4</v>
      </c>
      <c r="G16">
        <v>-88.4</v>
      </c>
      <c r="H16" s="2">
        <v>6031.875</v>
      </c>
      <c r="L16">
        <v>3.54</v>
      </c>
      <c r="M16">
        <v>11.6</v>
      </c>
      <c r="N16">
        <v>0.63940000000000552</v>
      </c>
      <c r="O16">
        <v>30.677499999999998</v>
      </c>
      <c r="P16">
        <v>-88.0381</v>
      </c>
      <c r="Q16" s="2">
        <v>6024</v>
      </c>
      <c r="R16" s="2">
        <v>6036</v>
      </c>
      <c r="S16" t="s">
        <v>94</v>
      </c>
      <c r="T16" t="s">
        <v>26</v>
      </c>
    </row>
    <row r="17" spans="1:22">
      <c r="A17" t="s">
        <v>95</v>
      </c>
      <c r="B17" t="s">
        <v>96</v>
      </c>
      <c r="C17" t="s">
        <v>97</v>
      </c>
      <c r="D17">
        <v>1916</v>
      </c>
      <c r="E17" t="s">
        <v>24</v>
      </c>
      <c r="F17">
        <v>27.05</v>
      </c>
      <c r="G17">
        <v>-97.5</v>
      </c>
      <c r="H17" s="2">
        <v>6075.9375</v>
      </c>
      <c r="L17">
        <v>2.8</v>
      </c>
      <c r="M17">
        <v>9.1999999999999993</v>
      </c>
      <c r="N17">
        <v>0.85860000000000625</v>
      </c>
      <c r="O17">
        <v>27.799700000000001</v>
      </c>
      <c r="P17">
        <v>-97.391099999999994</v>
      </c>
      <c r="Q17" s="2">
        <v>6069</v>
      </c>
      <c r="R17" s="2">
        <v>6077</v>
      </c>
      <c r="S17" t="s">
        <v>98</v>
      </c>
      <c r="T17" t="s">
        <v>26</v>
      </c>
    </row>
    <row r="18" spans="1:22">
      <c r="A18" t="s">
        <v>99</v>
      </c>
      <c r="B18" t="s">
        <v>100</v>
      </c>
      <c r="C18" t="s">
        <v>101</v>
      </c>
      <c r="D18">
        <v>1918</v>
      </c>
      <c r="E18" t="s">
        <v>31</v>
      </c>
      <c r="F18">
        <v>29.8</v>
      </c>
      <c r="G18">
        <v>-93.2</v>
      </c>
      <c r="H18" s="2">
        <v>6793.75</v>
      </c>
      <c r="J18" s="5"/>
      <c r="K18" s="5"/>
      <c r="L18" s="5">
        <v>0.91</v>
      </c>
      <c r="M18" s="5">
        <v>3</v>
      </c>
      <c r="N18" s="5">
        <v>2.1033000000000008</v>
      </c>
      <c r="O18">
        <v>29.688600000000001</v>
      </c>
      <c r="P18">
        <v>-91.208100000000002</v>
      </c>
      <c r="Q18" s="6">
        <v>6788</v>
      </c>
      <c r="R18" s="6">
        <v>6794</v>
      </c>
      <c r="S18" s="5" t="s">
        <v>102</v>
      </c>
      <c r="T18" s="5" t="s">
        <v>52</v>
      </c>
      <c r="U18" t="s">
        <v>53</v>
      </c>
    </row>
    <row r="19" spans="1:22">
      <c r="A19" t="s">
        <v>103</v>
      </c>
      <c r="B19" t="s">
        <v>104</v>
      </c>
      <c r="C19" t="s">
        <v>105</v>
      </c>
      <c r="D19">
        <v>1919</v>
      </c>
      <c r="E19" t="s">
        <v>37</v>
      </c>
      <c r="F19">
        <v>24.08915</v>
      </c>
      <c r="G19">
        <v>-81.233333333333334</v>
      </c>
      <c r="H19" s="2">
        <v>7192.729166666667</v>
      </c>
      <c r="J19" s="3"/>
      <c r="K19" s="3"/>
      <c r="L19" s="3">
        <v>4.2699999999999996</v>
      </c>
      <c r="M19" s="3">
        <v>14</v>
      </c>
      <c r="N19" s="3">
        <v>0.97691666666666421</v>
      </c>
      <c r="O19">
        <v>24.559699999999999</v>
      </c>
      <c r="P19">
        <v>-81.739699999999999</v>
      </c>
      <c r="Q19" s="4">
        <v>7185</v>
      </c>
      <c r="R19" s="4">
        <v>7199</v>
      </c>
      <c r="S19" s="3" t="s">
        <v>106</v>
      </c>
      <c r="T19" s="3" t="s">
        <v>26</v>
      </c>
      <c r="U19" t="s">
        <v>107</v>
      </c>
    </row>
    <row r="20" spans="1:22">
      <c r="A20" t="s">
        <v>108</v>
      </c>
      <c r="B20" t="s">
        <v>104</v>
      </c>
      <c r="C20" t="s">
        <v>105</v>
      </c>
      <c r="D20">
        <v>1919</v>
      </c>
      <c r="E20" t="s">
        <v>24</v>
      </c>
      <c r="F20">
        <v>27.266666666666669</v>
      </c>
      <c r="G20">
        <v>-97.533333333333331</v>
      </c>
      <c r="H20" s="2">
        <v>7197.916666666667</v>
      </c>
      <c r="J20" s="3"/>
      <c r="K20" s="3"/>
      <c r="L20" s="3">
        <v>4.88</v>
      </c>
      <c r="M20" s="3">
        <v>16</v>
      </c>
      <c r="N20" s="3">
        <v>0.644166666666667</v>
      </c>
      <c r="O20">
        <v>27.8612</v>
      </c>
      <c r="P20">
        <v>-97.483699999999999</v>
      </c>
      <c r="Q20" s="4">
        <v>7185</v>
      </c>
      <c r="R20" s="4">
        <v>7199</v>
      </c>
      <c r="S20" s="3" t="s">
        <v>106</v>
      </c>
      <c r="T20" s="3" t="s">
        <v>26</v>
      </c>
    </row>
    <row r="21" spans="1:22">
      <c r="A21" t="s">
        <v>109</v>
      </c>
      <c r="B21" t="s">
        <v>110</v>
      </c>
      <c r="C21" t="s">
        <v>111</v>
      </c>
      <c r="D21">
        <v>1920</v>
      </c>
      <c r="E21" t="s">
        <v>31</v>
      </c>
      <c r="F21">
        <v>29.225674999999999</v>
      </c>
      <c r="G21">
        <v>-90.868975000000006</v>
      </c>
      <c r="H21" s="2">
        <v>7571.0625</v>
      </c>
      <c r="J21" s="5"/>
      <c r="K21" s="5"/>
      <c r="L21" s="5">
        <v>1.83</v>
      </c>
      <c r="M21" s="5">
        <v>6</v>
      </c>
      <c r="N21" s="5">
        <v>2.5119000000000011</v>
      </c>
      <c r="O21">
        <v>30.262499999999999</v>
      </c>
      <c r="P21">
        <v>-89.393900000000002</v>
      </c>
      <c r="Q21" s="6">
        <v>7565</v>
      </c>
      <c r="R21" s="6">
        <v>7572</v>
      </c>
      <c r="S21" s="5" t="s">
        <v>112</v>
      </c>
      <c r="T21" s="5" t="s">
        <v>52</v>
      </c>
      <c r="U21" t="s">
        <v>53</v>
      </c>
    </row>
    <row r="22" spans="1:22">
      <c r="A22" t="s">
        <v>113</v>
      </c>
      <c r="B22" t="s">
        <v>114</v>
      </c>
      <c r="C22" t="s">
        <v>115</v>
      </c>
      <c r="D22">
        <v>1921</v>
      </c>
      <c r="E22" t="s">
        <v>37</v>
      </c>
      <c r="F22">
        <v>28.1</v>
      </c>
      <c r="G22">
        <v>-82.8</v>
      </c>
      <c r="H22" s="2">
        <v>7969.833333333333</v>
      </c>
      <c r="L22">
        <v>3.2</v>
      </c>
      <c r="M22">
        <v>10.5</v>
      </c>
      <c r="N22">
        <v>0.49960000000000088</v>
      </c>
      <c r="O22">
        <v>27.940300000000001</v>
      </c>
      <c r="P22">
        <v>-82.460099999999997</v>
      </c>
      <c r="Q22" s="2">
        <v>7964</v>
      </c>
      <c r="R22" s="2">
        <v>7974</v>
      </c>
      <c r="S22" t="s">
        <v>116</v>
      </c>
      <c r="T22" t="s">
        <v>26</v>
      </c>
    </row>
    <row r="23" spans="1:22">
      <c r="A23" t="s">
        <v>117</v>
      </c>
      <c r="B23" t="s">
        <v>118</v>
      </c>
      <c r="C23" t="s">
        <v>119</v>
      </c>
      <c r="D23">
        <v>1926</v>
      </c>
      <c r="E23" t="s">
        <v>37</v>
      </c>
      <c r="F23">
        <v>28.56431666666667</v>
      </c>
      <c r="G23">
        <v>-80.532650000000004</v>
      </c>
      <c r="H23" s="2">
        <v>9706.2708333333339</v>
      </c>
      <c r="T23" t="s">
        <v>66</v>
      </c>
    </row>
    <row r="24" spans="1:22">
      <c r="A24" t="s">
        <v>120</v>
      </c>
      <c r="B24" t="s">
        <v>121</v>
      </c>
      <c r="C24" t="s">
        <v>122</v>
      </c>
      <c r="D24">
        <v>1926</v>
      </c>
      <c r="E24" t="s">
        <v>31</v>
      </c>
      <c r="F24">
        <v>29.136724999999998</v>
      </c>
      <c r="G24">
        <v>-90.892400000000009</v>
      </c>
      <c r="H24" s="2">
        <v>9734.9375</v>
      </c>
      <c r="L24">
        <f>15*0.3048</f>
        <v>4.5720000000000001</v>
      </c>
      <c r="M24">
        <v>15</v>
      </c>
      <c r="N24">
        <f>ABS(F24-O24)+ABS(G24-P24)</f>
        <v>9.505265080668579E-2</v>
      </c>
      <c r="O24">
        <v>29.1620055779944</v>
      </c>
      <c r="P24">
        <v>-90.962172072812294</v>
      </c>
      <c r="T24" t="s">
        <v>26</v>
      </c>
      <c r="U24" s="9" t="s">
        <v>123</v>
      </c>
      <c r="V24" s="10"/>
    </row>
    <row r="25" spans="1:22">
      <c r="A25" t="s">
        <v>124</v>
      </c>
      <c r="B25" t="s">
        <v>125</v>
      </c>
      <c r="C25" t="s">
        <v>126</v>
      </c>
      <c r="D25">
        <v>1926</v>
      </c>
      <c r="E25" t="s">
        <v>37</v>
      </c>
      <c r="F25">
        <v>25.6</v>
      </c>
      <c r="G25">
        <v>-80.3</v>
      </c>
      <c r="H25" s="2">
        <v>9758.5</v>
      </c>
      <c r="J25">
        <v>3.75</v>
      </c>
      <c r="K25">
        <v>12.303149606299209</v>
      </c>
      <c r="L25">
        <v>4.54</v>
      </c>
      <c r="M25">
        <v>14.895013123359581</v>
      </c>
      <c r="N25">
        <v>0.15559999999999261</v>
      </c>
      <c r="O25">
        <v>25.712499999999999</v>
      </c>
      <c r="P25">
        <v>-80.256900000000002</v>
      </c>
      <c r="Q25" s="2">
        <v>9751</v>
      </c>
      <c r="R25" s="2">
        <v>9762</v>
      </c>
      <c r="S25" t="s">
        <v>127</v>
      </c>
      <c r="T25" t="s">
        <v>26</v>
      </c>
    </row>
    <row r="26" spans="1:22">
      <c r="A26" t="s">
        <v>128</v>
      </c>
      <c r="B26" t="s">
        <v>125</v>
      </c>
      <c r="C26" t="s">
        <v>126</v>
      </c>
      <c r="D26">
        <v>1926</v>
      </c>
      <c r="E26" t="s">
        <v>93</v>
      </c>
      <c r="F26">
        <v>30.3035</v>
      </c>
      <c r="G26">
        <v>-87.433499999999995</v>
      </c>
      <c r="H26" s="2">
        <v>9760.875</v>
      </c>
      <c r="L26">
        <v>4.2699999999999996</v>
      </c>
      <c r="M26">
        <v>14</v>
      </c>
      <c r="N26">
        <v>0.69880000000000209</v>
      </c>
      <c r="O26">
        <v>30.596900000000002</v>
      </c>
      <c r="P26">
        <v>-87.028099999999995</v>
      </c>
      <c r="Q26" s="2">
        <v>9751</v>
      </c>
      <c r="R26" s="2">
        <v>9762</v>
      </c>
      <c r="S26" t="s">
        <v>127</v>
      </c>
      <c r="T26" t="s">
        <v>26</v>
      </c>
    </row>
    <row r="27" spans="1:22">
      <c r="A27" t="s">
        <v>129</v>
      </c>
      <c r="B27" t="s">
        <v>130</v>
      </c>
      <c r="C27" t="s">
        <v>131</v>
      </c>
      <c r="D27">
        <v>1928</v>
      </c>
      <c r="E27" t="s">
        <v>37</v>
      </c>
      <c r="F27">
        <v>26.7</v>
      </c>
      <c r="G27">
        <v>-80</v>
      </c>
      <c r="H27" s="2">
        <v>10488</v>
      </c>
      <c r="J27" t="s">
        <v>132</v>
      </c>
      <c r="L27">
        <v>3.63</v>
      </c>
      <c r="N27">
        <v>1.0251999999999979</v>
      </c>
      <c r="O27">
        <v>27.4466</v>
      </c>
      <c r="P27">
        <v>-80.278599999999997</v>
      </c>
      <c r="Q27" s="2">
        <v>10477</v>
      </c>
      <c r="R27" s="2">
        <v>10492</v>
      </c>
      <c r="S27" t="s">
        <v>133</v>
      </c>
      <c r="T27" t="s">
        <v>26</v>
      </c>
    </row>
    <row r="28" spans="1:22">
      <c r="A28" t="s">
        <v>134</v>
      </c>
      <c r="B28" t="s">
        <v>135</v>
      </c>
      <c r="C28" t="s">
        <v>136</v>
      </c>
      <c r="D28">
        <v>1929</v>
      </c>
      <c r="E28" t="s">
        <v>24</v>
      </c>
      <c r="F28">
        <v>28.383333333333329</v>
      </c>
      <c r="G28">
        <v>-96.516666666666666</v>
      </c>
      <c r="H28" s="2">
        <v>10772.89583333333</v>
      </c>
      <c r="L28">
        <v>2.13</v>
      </c>
      <c r="M28">
        <v>7</v>
      </c>
      <c r="N28">
        <v>0.22670000000000809</v>
      </c>
      <c r="O28">
        <v>28.4086</v>
      </c>
      <c r="P28">
        <v>-96.718100000000007</v>
      </c>
      <c r="Q28" s="2">
        <v>10771</v>
      </c>
      <c r="R28" s="2">
        <v>10773</v>
      </c>
      <c r="S28" t="s">
        <v>137</v>
      </c>
      <c r="T28" t="s">
        <v>26</v>
      </c>
    </row>
    <row r="29" spans="1:22">
      <c r="A29" t="s">
        <v>138</v>
      </c>
      <c r="B29" t="s">
        <v>139</v>
      </c>
      <c r="C29" t="s">
        <v>140</v>
      </c>
      <c r="D29">
        <v>1929</v>
      </c>
      <c r="E29" t="s">
        <v>37</v>
      </c>
      <c r="F29">
        <v>25.091666666666669</v>
      </c>
      <c r="G29">
        <v>-80.747083333333336</v>
      </c>
      <c r="H29" s="2">
        <v>10864.64583333333</v>
      </c>
      <c r="J29" s="3"/>
      <c r="K29" s="3"/>
      <c r="L29" s="3">
        <v>2.68</v>
      </c>
      <c r="M29" s="3">
        <v>8.8000000000000007</v>
      </c>
      <c r="N29" s="3">
        <v>0.45171666666667321</v>
      </c>
      <c r="O29">
        <v>25.184799999999999</v>
      </c>
      <c r="P29">
        <v>-80.388499999999993</v>
      </c>
      <c r="Q29" s="4">
        <v>10858</v>
      </c>
      <c r="R29" s="4">
        <v>10870</v>
      </c>
      <c r="S29" s="3" t="s">
        <v>141</v>
      </c>
      <c r="T29" s="3" t="s">
        <v>26</v>
      </c>
    </row>
    <row r="30" spans="1:22">
      <c r="A30" t="s">
        <v>142</v>
      </c>
      <c r="B30" t="s">
        <v>139</v>
      </c>
      <c r="C30" t="s">
        <v>140</v>
      </c>
      <c r="D30">
        <v>1929</v>
      </c>
      <c r="E30" t="s">
        <v>37</v>
      </c>
      <c r="F30">
        <v>30.157900000000001</v>
      </c>
      <c r="G30">
        <v>-85.754750000000001</v>
      </c>
      <c r="H30" s="2">
        <v>10867.14583333333</v>
      </c>
      <c r="J30" s="3"/>
      <c r="K30" s="3"/>
      <c r="L30" s="3"/>
      <c r="M30" s="3"/>
      <c r="N30" s="3"/>
      <c r="Q30" s="4"/>
      <c r="R30" s="4"/>
      <c r="S30" s="3"/>
      <c r="T30" s="3" t="s">
        <v>66</v>
      </c>
    </row>
    <row r="31" spans="1:22">
      <c r="A31" t="s">
        <v>143</v>
      </c>
      <c r="B31" t="s">
        <v>144</v>
      </c>
      <c r="C31" t="s">
        <v>145</v>
      </c>
      <c r="D31">
        <v>1932</v>
      </c>
      <c r="E31" t="s">
        <v>24</v>
      </c>
      <c r="F31">
        <v>29</v>
      </c>
      <c r="G31">
        <v>-95.2</v>
      </c>
      <c r="H31" s="2">
        <v>11915.16666666667</v>
      </c>
      <c r="L31">
        <v>1.52</v>
      </c>
      <c r="M31">
        <v>5</v>
      </c>
      <c r="N31">
        <v>0.69950000000000401</v>
      </c>
      <c r="O31">
        <v>29.288900000000002</v>
      </c>
      <c r="P31">
        <v>-94.789400000000001</v>
      </c>
      <c r="Q31" s="2">
        <v>11913</v>
      </c>
      <c r="R31" s="2">
        <v>11916</v>
      </c>
      <c r="S31" t="s">
        <v>146</v>
      </c>
      <c r="T31" t="s">
        <v>26</v>
      </c>
    </row>
    <row r="32" spans="1:22">
      <c r="A32" t="s">
        <v>147</v>
      </c>
      <c r="B32" t="s">
        <v>148</v>
      </c>
      <c r="C32" t="s">
        <v>149</v>
      </c>
      <c r="D32">
        <v>1933</v>
      </c>
      <c r="E32" t="s">
        <v>81</v>
      </c>
      <c r="F32">
        <v>35.950000000000003</v>
      </c>
      <c r="G32">
        <v>-75.699999999999989</v>
      </c>
      <c r="H32" s="2">
        <v>12289.45833333333</v>
      </c>
      <c r="J32" t="s">
        <v>150</v>
      </c>
      <c r="L32">
        <v>2.97</v>
      </c>
      <c r="N32">
        <v>1.6316000000000059</v>
      </c>
      <c r="O32">
        <v>36.954700000000003</v>
      </c>
      <c r="P32">
        <v>-76.326899999999995</v>
      </c>
      <c r="Q32" s="2">
        <v>12279</v>
      </c>
      <c r="R32" s="2">
        <v>12294</v>
      </c>
      <c r="S32" t="s">
        <v>151</v>
      </c>
      <c r="T32" t="s">
        <v>26</v>
      </c>
    </row>
    <row r="33" spans="1:21">
      <c r="A33" t="s">
        <v>152</v>
      </c>
      <c r="B33" t="s">
        <v>153</v>
      </c>
      <c r="C33" t="s">
        <v>154</v>
      </c>
      <c r="D33">
        <v>1933</v>
      </c>
      <c r="E33" t="s">
        <v>37</v>
      </c>
      <c r="F33">
        <v>26.9</v>
      </c>
      <c r="G33">
        <v>-80.099999999999994</v>
      </c>
      <c r="H33" s="2">
        <v>12301.20833333333</v>
      </c>
      <c r="J33" s="11"/>
      <c r="K33" s="11"/>
      <c r="L33" s="11"/>
      <c r="M33" s="11"/>
      <c r="N33" s="11"/>
      <c r="Q33" s="12"/>
      <c r="R33" s="12"/>
      <c r="S33" s="11"/>
      <c r="T33" s="11" t="s">
        <v>66</v>
      </c>
    </row>
    <row r="34" spans="1:21">
      <c r="A34" t="s">
        <v>155</v>
      </c>
      <c r="B34" t="s">
        <v>156</v>
      </c>
      <c r="C34" t="s">
        <v>157</v>
      </c>
      <c r="D34">
        <v>1933</v>
      </c>
      <c r="E34" t="s">
        <v>24</v>
      </c>
      <c r="F34">
        <v>26.1</v>
      </c>
      <c r="G34">
        <v>-97.275000000000006</v>
      </c>
      <c r="H34" s="2">
        <v>12302.1875</v>
      </c>
      <c r="J34" s="7"/>
      <c r="K34" s="7"/>
      <c r="L34" s="7">
        <v>3.96</v>
      </c>
      <c r="M34" s="7">
        <v>13</v>
      </c>
      <c r="N34" s="7">
        <f>ABS(F34-O34)+ABS(G34-P34)</f>
        <v>0.12250000000000227</v>
      </c>
      <c r="O34">
        <v>26.111899999999999</v>
      </c>
      <c r="P34">
        <v>-97.164400000000001</v>
      </c>
      <c r="Q34" s="2">
        <v>12294</v>
      </c>
      <c r="R34" s="2">
        <v>12302</v>
      </c>
      <c r="S34" t="s">
        <v>158</v>
      </c>
      <c r="T34" s="7" t="s">
        <v>26</v>
      </c>
    </row>
    <row r="35" spans="1:21">
      <c r="A35" t="s">
        <v>159</v>
      </c>
      <c r="B35" t="s">
        <v>160</v>
      </c>
      <c r="C35" t="s">
        <v>161</v>
      </c>
      <c r="D35">
        <v>1933</v>
      </c>
      <c r="E35" t="s">
        <v>81</v>
      </c>
      <c r="F35">
        <v>35.568750000000001</v>
      </c>
      <c r="G35">
        <v>-75.271083333333337</v>
      </c>
      <c r="H35" s="2">
        <v>12313.60416666667</v>
      </c>
      <c r="J35" s="13" t="s">
        <v>162</v>
      </c>
      <c r="K35" s="13"/>
      <c r="L35" s="13">
        <v>2.99</v>
      </c>
      <c r="M35" s="13"/>
      <c r="N35" s="13">
        <v>2.4417666666666591</v>
      </c>
      <c r="O35">
        <v>36.954700000000003</v>
      </c>
      <c r="P35">
        <v>-76.326899999999995</v>
      </c>
      <c r="Q35" s="14">
        <v>12305</v>
      </c>
      <c r="R35" s="14">
        <v>12319</v>
      </c>
      <c r="S35" s="13" t="s">
        <v>163</v>
      </c>
      <c r="T35" s="13" t="s">
        <v>52</v>
      </c>
      <c r="U35" t="s">
        <v>53</v>
      </c>
    </row>
    <row r="36" spans="1:21">
      <c r="A36" t="s">
        <v>164</v>
      </c>
      <c r="B36" t="s">
        <v>165</v>
      </c>
      <c r="C36" t="s">
        <v>166</v>
      </c>
      <c r="D36">
        <v>1934</v>
      </c>
      <c r="E36" t="s">
        <v>31</v>
      </c>
      <c r="F36">
        <v>29.7</v>
      </c>
      <c r="G36">
        <v>-91.7</v>
      </c>
      <c r="H36" s="2">
        <v>12586.79166666667</v>
      </c>
      <c r="L36">
        <v>0.91</v>
      </c>
      <c r="M36">
        <v>3</v>
      </c>
      <c r="N36">
        <v>1.3096999999999961</v>
      </c>
      <c r="O36">
        <v>29.255400000000002</v>
      </c>
      <c r="P36">
        <v>-90.834900000000005</v>
      </c>
      <c r="Q36" s="2">
        <v>12574</v>
      </c>
      <c r="R36" s="2">
        <v>12591</v>
      </c>
      <c r="S36" t="s">
        <v>167</v>
      </c>
      <c r="T36" t="s">
        <v>26</v>
      </c>
    </row>
    <row r="37" spans="1:21">
      <c r="A37" t="s">
        <v>168</v>
      </c>
      <c r="B37" t="s">
        <v>169</v>
      </c>
      <c r="C37" t="s">
        <v>170</v>
      </c>
      <c r="D37">
        <v>1934</v>
      </c>
      <c r="E37" t="s">
        <v>24</v>
      </c>
      <c r="F37">
        <v>28.1</v>
      </c>
      <c r="G37">
        <v>-97</v>
      </c>
      <c r="H37" s="2">
        <v>12625.75</v>
      </c>
      <c r="J37" s="13"/>
      <c r="K37" s="13"/>
      <c r="L37" s="13">
        <v>2.13</v>
      </c>
      <c r="M37" s="13">
        <v>7</v>
      </c>
      <c r="N37" s="13">
        <v>3.3995000000000002</v>
      </c>
      <c r="O37">
        <v>29.288900000000002</v>
      </c>
      <c r="P37">
        <v>-94.789400000000001</v>
      </c>
      <c r="Q37" s="14">
        <v>12621</v>
      </c>
      <c r="R37" s="14">
        <v>12626</v>
      </c>
      <c r="S37" s="13" t="s">
        <v>171</v>
      </c>
      <c r="T37" s="13" t="s">
        <v>52</v>
      </c>
      <c r="U37" t="s">
        <v>53</v>
      </c>
    </row>
    <row r="38" spans="1:21">
      <c r="A38" t="s">
        <v>172</v>
      </c>
      <c r="B38" t="s">
        <v>173</v>
      </c>
      <c r="C38" t="s">
        <v>174</v>
      </c>
      <c r="D38">
        <v>1935</v>
      </c>
      <c r="E38" t="s">
        <v>37</v>
      </c>
      <c r="F38">
        <v>25.146533333333331</v>
      </c>
      <c r="G38">
        <v>-81.139749999999992</v>
      </c>
      <c r="H38" s="2">
        <v>13030.27083333333</v>
      </c>
      <c r="L38">
        <v>5.49</v>
      </c>
      <c r="M38">
        <v>18</v>
      </c>
      <c r="N38">
        <v>0.69718333333332794</v>
      </c>
      <c r="O38">
        <v>24.851600000000001</v>
      </c>
      <c r="P38">
        <v>-80.737499999999997</v>
      </c>
      <c r="Q38" s="2">
        <v>13025</v>
      </c>
      <c r="R38" s="2">
        <v>13037</v>
      </c>
      <c r="S38" t="s">
        <v>175</v>
      </c>
      <c r="T38" t="s">
        <v>26</v>
      </c>
    </row>
    <row r="39" spans="1:21">
      <c r="A39" t="s">
        <v>176</v>
      </c>
      <c r="B39" t="s">
        <v>173</v>
      </c>
      <c r="C39" t="s">
        <v>174</v>
      </c>
      <c r="D39">
        <v>1935</v>
      </c>
      <c r="E39" t="s">
        <v>37</v>
      </c>
      <c r="F39">
        <v>29.675000000000001</v>
      </c>
      <c r="G39">
        <v>-83.4</v>
      </c>
      <c r="H39" s="2">
        <v>13031.9375</v>
      </c>
      <c r="L39">
        <v>1.52</v>
      </c>
      <c r="M39">
        <v>5</v>
      </c>
      <c r="N39">
        <v>0.89340000000000686</v>
      </c>
      <c r="O39">
        <v>29.139700000000001</v>
      </c>
      <c r="P39">
        <v>-83.041899999999998</v>
      </c>
      <c r="Q39" s="2">
        <v>13025</v>
      </c>
      <c r="R39" s="2">
        <v>13037</v>
      </c>
      <c r="S39" t="s">
        <v>175</v>
      </c>
      <c r="T39" t="s">
        <v>26</v>
      </c>
    </row>
    <row r="40" spans="1:21">
      <c r="A40" t="s">
        <v>177</v>
      </c>
      <c r="B40" t="s">
        <v>178</v>
      </c>
      <c r="C40" t="s">
        <v>179</v>
      </c>
      <c r="D40">
        <v>1935</v>
      </c>
      <c r="E40" t="s">
        <v>37</v>
      </c>
      <c r="F40">
        <v>25.9</v>
      </c>
      <c r="G40">
        <v>-80.099999999999994</v>
      </c>
      <c r="H40" s="2">
        <v>13092.75</v>
      </c>
      <c r="I40" t="s">
        <v>180</v>
      </c>
      <c r="J40" s="7"/>
      <c r="K40" s="7"/>
      <c r="L40" s="7">
        <v>2.68</v>
      </c>
      <c r="M40" s="7">
        <v>8.8000000000000007</v>
      </c>
      <c r="N40" s="7">
        <f>ABS(F40-O40)+ABS(G40-P40)</f>
        <v>0.22709830391140073</v>
      </c>
      <c r="O40" s="21">
        <v>26.1230066344603</v>
      </c>
      <c r="P40">
        <v>-80.095908330548895</v>
      </c>
      <c r="Q40" s="15"/>
      <c r="R40" s="15"/>
      <c r="S40" s="7"/>
      <c r="T40" s="7" t="s">
        <v>26</v>
      </c>
      <c r="U40" t="s">
        <v>181</v>
      </c>
    </row>
    <row r="41" spans="1:21">
      <c r="A41" t="s">
        <v>182</v>
      </c>
      <c r="B41" t="s">
        <v>183</v>
      </c>
      <c r="C41" t="s">
        <v>184</v>
      </c>
      <c r="D41">
        <v>1936</v>
      </c>
      <c r="E41" t="s">
        <v>24</v>
      </c>
      <c r="F41">
        <v>28</v>
      </c>
      <c r="G41">
        <v>-97.15</v>
      </c>
      <c r="H41" s="2">
        <v>13328.70833333333</v>
      </c>
      <c r="T41" t="s">
        <v>66</v>
      </c>
    </row>
    <row r="42" spans="1:21">
      <c r="A42" t="s">
        <v>185</v>
      </c>
      <c r="B42" t="s">
        <v>186</v>
      </c>
      <c r="C42" t="s">
        <v>187</v>
      </c>
      <c r="D42">
        <v>1936</v>
      </c>
      <c r="E42" t="s">
        <v>37</v>
      </c>
      <c r="F42">
        <v>30.4</v>
      </c>
      <c r="G42">
        <v>-86.6</v>
      </c>
      <c r="H42" s="2">
        <v>13362.58333333333</v>
      </c>
      <c r="J42" s="7"/>
      <c r="K42" s="7"/>
      <c r="L42" s="7">
        <v>1.83</v>
      </c>
      <c r="M42" s="7">
        <v>6</v>
      </c>
      <c r="N42" s="7">
        <v>0.61579999999998591</v>
      </c>
      <c r="O42">
        <v>30.301400000000001</v>
      </c>
      <c r="P42">
        <v>-86.082800000000006</v>
      </c>
      <c r="Q42" s="15">
        <v>13358</v>
      </c>
      <c r="R42" s="15">
        <v>13363</v>
      </c>
      <c r="S42" s="7" t="s">
        <v>188</v>
      </c>
      <c r="T42" s="7" t="s">
        <v>26</v>
      </c>
      <c r="U42" t="s">
        <v>189</v>
      </c>
    </row>
    <row r="43" spans="1:21">
      <c r="A43" t="s">
        <v>190</v>
      </c>
      <c r="B43" t="s">
        <v>191</v>
      </c>
      <c r="C43" t="s">
        <v>192</v>
      </c>
      <c r="D43">
        <v>1936</v>
      </c>
      <c r="E43" t="s">
        <v>81</v>
      </c>
      <c r="F43">
        <v>35.9</v>
      </c>
      <c r="G43">
        <v>-74.8</v>
      </c>
      <c r="H43" s="2">
        <v>13411.5</v>
      </c>
      <c r="I43" t="s">
        <v>193</v>
      </c>
      <c r="J43" s="13"/>
      <c r="K43" s="13"/>
      <c r="L43" s="13">
        <v>2.83</v>
      </c>
      <c r="M43" s="13">
        <v>9.3000000000000007</v>
      </c>
      <c r="N43" s="7">
        <f>ABS(F43-O43)+ABS(G43-P43)</f>
        <v>2.5758000000000081</v>
      </c>
      <c r="O43" s="21">
        <v>36.953000000000003</v>
      </c>
      <c r="P43">
        <v>-76.322800000000001</v>
      </c>
      <c r="Q43" s="14"/>
      <c r="R43" s="14"/>
      <c r="S43" s="13"/>
      <c r="T43" s="13" t="s">
        <v>52</v>
      </c>
      <c r="U43" t="s">
        <v>194</v>
      </c>
    </row>
    <row r="44" spans="1:21">
      <c r="A44" t="s">
        <v>195</v>
      </c>
      <c r="B44" t="s">
        <v>196</v>
      </c>
      <c r="C44" t="s">
        <v>197</v>
      </c>
      <c r="D44">
        <v>1938</v>
      </c>
      <c r="E44" t="s">
        <v>198</v>
      </c>
      <c r="F44">
        <v>40.700000000000003</v>
      </c>
      <c r="G44">
        <v>-72.900000000000006</v>
      </c>
      <c r="H44" s="2">
        <v>14144.83333333333</v>
      </c>
      <c r="I44" t="s">
        <v>193</v>
      </c>
      <c r="J44" s="7"/>
      <c r="K44" s="7"/>
      <c r="L44" s="7">
        <v>5.12</v>
      </c>
      <c r="M44" s="7">
        <v>16.75</v>
      </c>
      <c r="N44" s="7">
        <f>ABS(F44-O44)+ABS(G44-P44)</f>
        <v>1.0122445236322903</v>
      </c>
      <c r="O44" s="21">
        <v>40.763532428155699</v>
      </c>
      <c r="P44">
        <v>-73.8487120954766</v>
      </c>
      <c r="Q44" s="7"/>
      <c r="R44" s="7"/>
      <c r="S44" s="7"/>
      <c r="T44" s="7" t="s">
        <v>26</v>
      </c>
      <c r="U44" t="s">
        <v>199</v>
      </c>
    </row>
    <row r="45" spans="1:21">
      <c r="A45" t="s">
        <v>200</v>
      </c>
      <c r="B45" t="s">
        <v>201</v>
      </c>
      <c r="C45" t="s">
        <v>202</v>
      </c>
      <c r="D45">
        <v>1940</v>
      </c>
      <c r="E45" t="s">
        <v>24</v>
      </c>
      <c r="F45">
        <v>29.68333333333333</v>
      </c>
      <c r="G45">
        <v>-94.05</v>
      </c>
      <c r="H45" s="2">
        <v>14830.85416666667</v>
      </c>
      <c r="J45" s="13">
        <v>1.46</v>
      </c>
      <c r="K45" s="13">
        <v>4.8</v>
      </c>
      <c r="L45" s="13"/>
      <c r="M45" s="13"/>
      <c r="N45" s="7">
        <f>ABS(F45-O45)+ABS(G45-P45)</f>
        <v>0.83486487113506058</v>
      </c>
      <c r="O45">
        <v>29.795518488170899</v>
      </c>
      <c r="P45">
        <v>-93.327320283702505</v>
      </c>
      <c r="Q45" s="14"/>
      <c r="R45" s="14"/>
      <c r="S45" s="13"/>
      <c r="T45" s="13" t="s">
        <v>26</v>
      </c>
      <c r="U45" t="s">
        <v>203</v>
      </c>
    </row>
    <row r="46" spans="1:21">
      <c r="A46" t="s">
        <v>204</v>
      </c>
      <c r="B46" t="s">
        <v>205</v>
      </c>
      <c r="C46" t="s">
        <v>206</v>
      </c>
      <c r="D46">
        <v>1940</v>
      </c>
      <c r="E46" t="s">
        <v>75</v>
      </c>
      <c r="F46">
        <v>32.106900000000003</v>
      </c>
      <c r="G46">
        <v>-80.884500000000003</v>
      </c>
      <c r="H46" s="2">
        <v>14834.85416666667</v>
      </c>
      <c r="J46" s="7">
        <v>3.44</v>
      </c>
      <c r="K46" s="7"/>
      <c r="L46" s="7">
        <v>3.94</v>
      </c>
      <c r="M46" s="7">
        <v>11.3</v>
      </c>
      <c r="N46" s="7">
        <f>ABS(F46-O46)+ABS(G46-P46)</f>
        <v>0.56057639910050483</v>
      </c>
      <c r="O46">
        <v>32.440898073013102</v>
      </c>
      <c r="P46">
        <v>-80.657921673912597</v>
      </c>
      <c r="Q46" s="15">
        <v>14828</v>
      </c>
      <c r="R46" s="15">
        <v>14840</v>
      </c>
      <c r="S46" s="7" t="s">
        <v>207</v>
      </c>
      <c r="T46" s="7" t="s">
        <v>26</v>
      </c>
      <c r="U46" t="s">
        <v>208</v>
      </c>
    </row>
    <row r="47" spans="1:21">
      <c r="A47" t="s">
        <v>209</v>
      </c>
      <c r="B47" t="s">
        <v>210</v>
      </c>
      <c r="C47" t="s">
        <v>211</v>
      </c>
      <c r="D47">
        <v>1941</v>
      </c>
      <c r="E47" t="s">
        <v>24</v>
      </c>
      <c r="F47">
        <v>28.8</v>
      </c>
      <c r="G47">
        <v>-95.6</v>
      </c>
      <c r="H47" s="2">
        <v>15242.91666666667</v>
      </c>
      <c r="L47">
        <v>3.35</v>
      </c>
      <c r="M47">
        <v>11</v>
      </c>
      <c r="N47">
        <v>0.47770000000000928</v>
      </c>
      <c r="O47">
        <v>28.688099999999999</v>
      </c>
      <c r="P47">
        <v>-95.965800000000002</v>
      </c>
      <c r="Q47" s="2">
        <v>15235</v>
      </c>
      <c r="R47" s="2">
        <v>15244</v>
      </c>
      <c r="S47" t="s">
        <v>212</v>
      </c>
      <c r="T47" t="s">
        <v>26</v>
      </c>
    </row>
    <row r="48" spans="1:21">
      <c r="A48" t="s">
        <v>213</v>
      </c>
      <c r="B48" t="s">
        <v>214</v>
      </c>
      <c r="C48" t="s">
        <v>215</v>
      </c>
      <c r="D48">
        <v>1941</v>
      </c>
      <c r="E48" t="s">
        <v>37</v>
      </c>
      <c r="F48">
        <v>25.5</v>
      </c>
      <c r="G48">
        <v>-80.3</v>
      </c>
      <c r="H48" s="2">
        <v>15255.45833333333</v>
      </c>
      <c r="L48">
        <v>1.25</v>
      </c>
      <c r="M48">
        <v>4.0999999999999996</v>
      </c>
      <c r="N48">
        <v>1.433400000000002</v>
      </c>
      <c r="O48">
        <v>25.845600000000001</v>
      </c>
      <c r="P48">
        <v>-81.387799999999999</v>
      </c>
      <c r="Q48" s="2">
        <v>15252</v>
      </c>
      <c r="R48" s="2">
        <v>15263</v>
      </c>
      <c r="S48" t="s">
        <v>216</v>
      </c>
      <c r="T48" t="s">
        <v>26</v>
      </c>
    </row>
    <row r="49" spans="1:21">
      <c r="A49" t="s">
        <v>217</v>
      </c>
      <c r="B49" t="s">
        <v>214</v>
      </c>
      <c r="C49" t="s">
        <v>215</v>
      </c>
      <c r="D49">
        <v>1941</v>
      </c>
      <c r="E49" t="s">
        <v>37</v>
      </c>
      <c r="F49">
        <v>29.9</v>
      </c>
      <c r="G49">
        <v>-84.6</v>
      </c>
      <c r="H49" s="2">
        <v>15256.375</v>
      </c>
      <c r="L49">
        <v>2.44</v>
      </c>
      <c r="M49">
        <v>8</v>
      </c>
      <c r="N49">
        <v>0.64299999999999713</v>
      </c>
      <c r="O49">
        <v>30.151900000000001</v>
      </c>
      <c r="P49">
        <v>-84.2089</v>
      </c>
      <c r="Q49" s="2">
        <v>15252</v>
      </c>
      <c r="R49" s="2">
        <v>15263</v>
      </c>
      <c r="S49" t="s">
        <v>216</v>
      </c>
      <c r="T49" t="s">
        <v>26</v>
      </c>
    </row>
    <row r="50" spans="1:21">
      <c r="A50" t="s">
        <v>218</v>
      </c>
      <c r="B50" t="s">
        <v>219</v>
      </c>
      <c r="C50" t="s">
        <v>220</v>
      </c>
      <c r="D50">
        <v>1942</v>
      </c>
      <c r="E50" t="s">
        <v>24</v>
      </c>
      <c r="F50">
        <v>28.383333333333329</v>
      </c>
      <c r="G50">
        <v>-96.699999999999989</v>
      </c>
      <c r="H50" s="2">
        <v>15583.39583333333</v>
      </c>
      <c r="L50">
        <v>4.4800000000000004</v>
      </c>
      <c r="M50">
        <v>14.7</v>
      </c>
      <c r="N50">
        <v>0.63606666666665035</v>
      </c>
      <c r="O50">
        <v>28.6419</v>
      </c>
      <c r="P50">
        <v>-96.322500000000005</v>
      </c>
      <c r="Q50" s="2">
        <v>15574</v>
      </c>
      <c r="R50" s="2">
        <v>15584</v>
      </c>
      <c r="S50" t="s">
        <v>221</v>
      </c>
      <c r="T50" t="s">
        <v>26</v>
      </c>
    </row>
    <row r="51" spans="1:21">
      <c r="A51" t="s">
        <v>222</v>
      </c>
      <c r="B51" t="s">
        <v>223</v>
      </c>
      <c r="C51" t="s">
        <v>224</v>
      </c>
      <c r="D51">
        <v>1943</v>
      </c>
      <c r="E51" t="s">
        <v>24</v>
      </c>
      <c r="F51">
        <v>29.5</v>
      </c>
      <c r="G51">
        <v>-94.6</v>
      </c>
      <c r="H51" s="2">
        <v>15914.75</v>
      </c>
      <c r="J51" s="7"/>
      <c r="K51" s="7"/>
      <c r="L51" s="7">
        <v>1.22</v>
      </c>
      <c r="M51" s="7">
        <v>4</v>
      </c>
      <c r="N51" s="7">
        <v>0.40050000000000452</v>
      </c>
      <c r="O51">
        <v>29.288900000000002</v>
      </c>
      <c r="P51">
        <v>-94.789400000000001</v>
      </c>
      <c r="Q51" s="15">
        <v>15912</v>
      </c>
      <c r="R51" s="15">
        <v>15916</v>
      </c>
      <c r="S51" s="7" t="s">
        <v>225</v>
      </c>
      <c r="T51" s="7" t="s">
        <v>26</v>
      </c>
      <c r="U51" t="s">
        <v>226</v>
      </c>
    </row>
    <row r="52" spans="1:21">
      <c r="A52" t="s">
        <v>227</v>
      </c>
      <c r="B52" t="s">
        <v>228</v>
      </c>
      <c r="C52" t="s">
        <v>229</v>
      </c>
      <c r="D52">
        <v>1944</v>
      </c>
      <c r="E52" t="s">
        <v>81</v>
      </c>
      <c r="F52">
        <v>33.9</v>
      </c>
      <c r="G52">
        <v>-78.099999999999994</v>
      </c>
      <c r="H52" s="2">
        <v>16285.95833333333</v>
      </c>
      <c r="I52" t="s">
        <v>61</v>
      </c>
      <c r="J52">
        <v>0.4</v>
      </c>
      <c r="K52">
        <v>1.32</v>
      </c>
      <c r="L52">
        <v>1.1000000000000001</v>
      </c>
      <c r="M52">
        <v>3.61</v>
      </c>
      <c r="N52" s="7">
        <f>ABS(F52-O52)+ABS(G52-P52)</f>
        <v>0.47339999999999804</v>
      </c>
      <c r="O52">
        <v>34.226700000000001</v>
      </c>
      <c r="P52">
        <v>-77.953299999999999</v>
      </c>
      <c r="T52" t="s">
        <v>230</v>
      </c>
      <c r="U52" t="s">
        <v>231</v>
      </c>
    </row>
    <row r="53" spans="1:21">
      <c r="A53" t="s">
        <v>232</v>
      </c>
      <c r="B53" t="s">
        <v>233</v>
      </c>
      <c r="C53" t="s">
        <v>234</v>
      </c>
      <c r="D53">
        <v>1944</v>
      </c>
      <c r="E53" t="s">
        <v>81</v>
      </c>
      <c r="F53">
        <v>35.724600000000002</v>
      </c>
      <c r="G53">
        <v>-75.137100000000004</v>
      </c>
      <c r="H53" s="2">
        <v>16329.625</v>
      </c>
      <c r="J53" s="7"/>
      <c r="K53" s="7"/>
      <c r="L53" s="7">
        <v>3.05</v>
      </c>
      <c r="M53" s="7">
        <v>10</v>
      </c>
      <c r="N53" s="7">
        <f>ABS(F53-O53)+ABS(G53-P53)</f>
        <v>0.58994862700019013</v>
      </c>
      <c r="O53" s="21">
        <v>35.8392133320406</v>
      </c>
      <c r="P53">
        <v>-75.612435294959596</v>
      </c>
      <c r="Q53" s="15"/>
      <c r="R53" s="15"/>
      <c r="S53" s="7"/>
      <c r="T53" s="7" t="s">
        <v>26</v>
      </c>
      <c r="U53" t="s">
        <v>235</v>
      </c>
    </row>
    <row r="54" spans="1:21">
      <c r="A54" t="s">
        <v>236</v>
      </c>
      <c r="B54" t="s">
        <v>233</v>
      </c>
      <c r="C54" t="s">
        <v>234</v>
      </c>
      <c r="D54">
        <v>1944</v>
      </c>
      <c r="E54" t="s">
        <v>198</v>
      </c>
      <c r="F54">
        <v>40.9</v>
      </c>
      <c r="G54">
        <v>-72.2</v>
      </c>
      <c r="H54" s="2">
        <v>16330.08333333333</v>
      </c>
      <c r="I54" t="s">
        <v>76</v>
      </c>
      <c r="J54" s="7"/>
      <c r="K54" s="7"/>
      <c r="L54" s="7">
        <v>3.2</v>
      </c>
      <c r="M54" s="7">
        <v>10.5</v>
      </c>
      <c r="N54" s="7">
        <f>ABS(F54-O54)+ABS(G54-P54)</f>
        <v>1.1048913226683084</v>
      </c>
      <c r="O54" s="21">
        <v>41.288777071011303</v>
      </c>
      <c r="P54">
        <v>-72.916114251657007</v>
      </c>
      <c r="Q54" s="7"/>
      <c r="R54" s="7"/>
      <c r="S54" s="7"/>
      <c r="T54" s="7" t="s">
        <v>26</v>
      </c>
      <c r="U54" t="s">
        <v>237</v>
      </c>
    </row>
    <row r="55" spans="1:21">
      <c r="A55" t="s">
        <v>238</v>
      </c>
      <c r="B55" t="s">
        <v>239</v>
      </c>
      <c r="C55" t="s">
        <v>240</v>
      </c>
      <c r="D55">
        <v>1944</v>
      </c>
      <c r="E55" t="s">
        <v>37</v>
      </c>
      <c r="F55">
        <v>27.2</v>
      </c>
      <c r="G55">
        <v>-82.5</v>
      </c>
      <c r="H55" s="2">
        <v>16364.29166666667</v>
      </c>
      <c r="J55" s="16"/>
      <c r="K55" s="16"/>
      <c r="L55" s="16">
        <v>3.66</v>
      </c>
      <c r="M55" s="16">
        <v>12</v>
      </c>
      <c r="N55" s="16">
        <v>1.752399999999994</v>
      </c>
      <c r="O55">
        <v>26.1401</v>
      </c>
      <c r="P55">
        <v>-81.807500000000005</v>
      </c>
      <c r="Q55" s="17">
        <v>16357</v>
      </c>
      <c r="R55" s="17">
        <v>16368</v>
      </c>
      <c r="S55" s="16" t="s">
        <v>241</v>
      </c>
      <c r="T55" s="16" t="s">
        <v>26</v>
      </c>
    </row>
    <row r="56" spans="1:21">
      <c r="A56" t="s">
        <v>242</v>
      </c>
      <c r="B56" t="s">
        <v>239</v>
      </c>
      <c r="C56" t="s">
        <v>240</v>
      </c>
      <c r="D56">
        <v>1944</v>
      </c>
      <c r="E56" t="s">
        <v>75</v>
      </c>
      <c r="F56">
        <v>30.743266666666671</v>
      </c>
      <c r="G56">
        <v>-81.499733333333339</v>
      </c>
      <c r="H56" s="2">
        <v>16364.91666666667</v>
      </c>
      <c r="I56" t="s">
        <v>76</v>
      </c>
      <c r="J56" s="16">
        <v>3.23</v>
      </c>
      <c r="K56" s="16"/>
      <c r="L56" s="16">
        <v>3.72</v>
      </c>
      <c r="M56" s="16"/>
      <c r="N56" s="7">
        <f>ABS(F56-O56)+ABS(G56-P56)</f>
        <v>0.57404522128210189</v>
      </c>
      <c r="O56">
        <v>30.285575036482602</v>
      </c>
      <c r="P56" s="20">
        <v>-81.383379742235306</v>
      </c>
      <c r="Q56" s="17">
        <v>16357</v>
      </c>
      <c r="R56" s="17">
        <v>16368</v>
      </c>
      <c r="S56" s="16" t="s">
        <v>241</v>
      </c>
      <c r="T56" s="16" t="s">
        <v>26</v>
      </c>
      <c r="U56" t="s">
        <v>243</v>
      </c>
    </row>
    <row r="57" spans="1:21">
      <c r="A57" t="s">
        <v>244</v>
      </c>
      <c r="B57" t="s">
        <v>245</v>
      </c>
      <c r="C57" t="s">
        <v>246</v>
      </c>
      <c r="D57">
        <v>1945</v>
      </c>
      <c r="E57" t="s">
        <v>24</v>
      </c>
      <c r="F57">
        <v>28.407599999999999</v>
      </c>
      <c r="G57">
        <v>-96.492599999999996</v>
      </c>
      <c r="H57" s="2">
        <v>16676.625</v>
      </c>
      <c r="L57">
        <v>4.57</v>
      </c>
      <c r="M57">
        <v>15</v>
      </c>
      <c r="N57">
        <v>0.33230000000000709</v>
      </c>
      <c r="O57">
        <v>28.612200000000001</v>
      </c>
      <c r="P57">
        <v>-96.6203</v>
      </c>
      <c r="Q57" s="2">
        <v>16673</v>
      </c>
      <c r="R57" s="2">
        <v>16678</v>
      </c>
      <c r="S57" t="s">
        <v>247</v>
      </c>
      <c r="T57" t="s">
        <v>26</v>
      </c>
    </row>
    <row r="58" spans="1:21">
      <c r="A58" t="s">
        <v>248</v>
      </c>
      <c r="B58" t="s">
        <v>249</v>
      </c>
      <c r="C58" t="s">
        <v>250</v>
      </c>
      <c r="D58">
        <v>1945</v>
      </c>
      <c r="E58" t="s">
        <v>37</v>
      </c>
      <c r="F58">
        <v>25.3</v>
      </c>
      <c r="G58">
        <v>-80.3</v>
      </c>
      <c r="H58" s="2">
        <v>16695.8125</v>
      </c>
      <c r="I58" t="s">
        <v>76</v>
      </c>
      <c r="J58" s="7"/>
      <c r="K58" s="7"/>
      <c r="L58" s="7">
        <v>4.2</v>
      </c>
      <c r="M58" s="7">
        <v>13.7</v>
      </c>
      <c r="N58" s="7">
        <f>ABS(F58-O58)+ABS(G58-P58)</f>
        <v>0.2796044269220026</v>
      </c>
      <c r="O58">
        <v>25.576616440012501</v>
      </c>
      <c r="P58">
        <v>-80.3029879869095</v>
      </c>
      <c r="Q58" s="7"/>
      <c r="R58" s="7"/>
      <c r="S58" s="7"/>
      <c r="T58" s="7" t="s">
        <v>26</v>
      </c>
      <c r="U58" t="s">
        <v>251</v>
      </c>
    </row>
    <row r="59" spans="1:21">
      <c r="A59" t="s">
        <v>252</v>
      </c>
      <c r="B59" t="s">
        <v>253</v>
      </c>
      <c r="C59" t="s">
        <v>254</v>
      </c>
      <c r="D59">
        <v>1946</v>
      </c>
      <c r="E59" t="s">
        <v>37</v>
      </c>
      <c r="F59">
        <v>27.5</v>
      </c>
      <c r="G59">
        <v>-82.6</v>
      </c>
      <c r="H59" s="2">
        <v>17083.083333333328</v>
      </c>
      <c r="J59" s="3"/>
      <c r="K59" s="3"/>
      <c r="L59" s="3">
        <v>1.83</v>
      </c>
      <c r="M59" s="3">
        <v>6</v>
      </c>
      <c r="N59" s="3">
        <v>0.4979999999999869</v>
      </c>
      <c r="O59">
        <v>27.129200000000001</v>
      </c>
      <c r="P59">
        <v>-82.472800000000007</v>
      </c>
      <c r="Q59" s="4">
        <v>17080</v>
      </c>
      <c r="R59" s="4">
        <v>17089</v>
      </c>
      <c r="S59" s="3" t="s">
        <v>255</v>
      </c>
      <c r="T59" s="3" t="s">
        <v>26</v>
      </c>
    </row>
    <row r="60" spans="1:21">
      <c r="A60" t="s">
        <v>256</v>
      </c>
      <c r="B60" t="s">
        <v>257</v>
      </c>
      <c r="C60" t="s">
        <v>258</v>
      </c>
      <c r="D60">
        <v>1946</v>
      </c>
      <c r="E60" t="s">
        <v>37</v>
      </c>
      <c r="F60">
        <v>26.520099999999999</v>
      </c>
      <c r="G60">
        <v>-80.0227</v>
      </c>
      <c r="H60" s="2">
        <v>17107.895833333328</v>
      </c>
      <c r="T60" t="s">
        <v>66</v>
      </c>
    </row>
    <row r="61" spans="1:21">
      <c r="A61" t="s">
        <v>259</v>
      </c>
      <c r="B61" t="s">
        <v>260</v>
      </c>
      <c r="C61" t="s">
        <v>261</v>
      </c>
      <c r="D61">
        <v>1947</v>
      </c>
      <c r="E61" t="s">
        <v>24</v>
      </c>
      <c r="F61">
        <v>29.225000000000001</v>
      </c>
      <c r="G61">
        <v>-94.925000000000011</v>
      </c>
      <c r="H61" s="2">
        <v>17403.9375</v>
      </c>
      <c r="L61">
        <v>1.22</v>
      </c>
      <c r="M61">
        <v>4</v>
      </c>
      <c r="N61">
        <v>0.26530000000000342</v>
      </c>
      <c r="O61">
        <v>29.335599999999999</v>
      </c>
      <c r="P61">
        <v>-94.770300000000006</v>
      </c>
      <c r="Q61" s="2">
        <v>17397</v>
      </c>
      <c r="R61" s="2">
        <v>17406</v>
      </c>
      <c r="S61" t="s">
        <v>262</v>
      </c>
      <c r="T61" t="s">
        <v>26</v>
      </c>
    </row>
    <row r="62" spans="1:21">
      <c r="A62" t="s">
        <v>263</v>
      </c>
      <c r="B62" t="s">
        <v>264</v>
      </c>
      <c r="C62" t="s">
        <v>265</v>
      </c>
      <c r="D62">
        <v>1947</v>
      </c>
      <c r="E62" t="s">
        <v>37</v>
      </c>
      <c r="F62">
        <v>26.1</v>
      </c>
      <c r="G62">
        <v>-80.099999999999994</v>
      </c>
      <c r="H62" s="2">
        <v>17427.6875</v>
      </c>
      <c r="J62" t="s">
        <v>266</v>
      </c>
      <c r="L62">
        <v>3.33</v>
      </c>
      <c r="M62">
        <v>10.8</v>
      </c>
      <c r="N62">
        <v>0.31499999999999417</v>
      </c>
      <c r="O62">
        <v>26.358599999999999</v>
      </c>
      <c r="P62">
        <v>-80.043599999999998</v>
      </c>
      <c r="Q62" s="2">
        <v>17414</v>
      </c>
      <c r="R62" s="2">
        <v>17431</v>
      </c>
      <c r="S62" t="s">
        <v>267</v>
      </c>
      <c r="T62" t="s">
        <v>26</v>
      </c>
      <c r="U62" t="s">
        <v>268</v>
      </c>
    </row>
    <row r="63" spans="1:21">
      <c r="A63" t="s">
        <v>269</v>
      </c>
      <c r="B63" t="s">
        <v>264</v>
      </c>
      <c r="C63" t="s">
        <v>265</v>
      </c>
      <c r="D63">
        <v>1947</v>
      </c>
      <c r="E63" t="s">
        <v>31</v>
      </c>
      <c r="F63">
        <v>29.65795</v>
      </c>
      <c r="G63">
        <v>-89.642600000000002</v>
      </c>
      <c r="H63" s="2">
        <v>17429.604166666672</v>
      </c>
      <c r="L63">
        <v>4.63</v>
      </c>
      <c r="M63">
        <v>15.2</v>
      </c>
      <c r="N63">
        <v>0.95635000000000403</v>
      </c>
      <c r="O63">
        <v>30.302499999999998</v>
      </c>
      <c r="P63">
        <v>-89.330799999999996</v>
      </c>
      <c r="Q63" s="2">
        <v>17414</v>
      </c>
      <c r="R63" s="2">
        <v>17431</v>
      </c>
      <c r="S63" t="s">
        <v>270</v>
      </c>
      <c r="T63" t="s">
        <v>26</v>
      </c>
      <c r="U63" t="s">
        <v>268</v>
      </c>
    </row>
    <row r="64" spans="1:21">
      <c r="A64" t="s">
        <v>271</v>
      </c>
      <c r="B64" t="s">
        <v>272</v>
      </c>
      <c r="C64" t="s">
        <v>273</v>
      </c>
      <c r="D64">
        <v>1947</v>
      </c>
      <c r="E64" t="s">
        <v>37</v>
      </c>
      <c r="F64">
        <v>28.881499999999999</v>
      </c>
      <c r="G64">
        <v>-82.706249999999997</v>
      </c>
      <c r="H64" s="2">
        <v>17433.9375</v>
      </c>
      <c r="T64" t="s">
        <v>66</v>
      </c>
    </row>
    <row r="65" spans="1:21">
      <c r="A65" t="s">
        <v>274</v>
      </c>
      <c r="B65" t="s">
        <v>275</v>
      </c>
      <c r="C65" t="s">
        <v>276</v>
      </c>
      <c r="D65">
        <v>1947</v>
      </c>
      <c r="E65" t="s">
        <v>37</v>
      </c>
      <c r="F65">
        <v>25.4481</v>
      </c>
      <c r="G65">
        <v>-81.086800000000011</v>
      </c>
      <c r="H65" s="2">
        <v>17452.104166666672</v>
      </c>
      <c r="T65" t="s">
        <v>66</v>
      </c>
    </row>
    <row r="66" spans="1:21">
      <c r="A66" t="s">
        <v>277</v>
      </c>
      <c r="B66" t="s">
        <v>275</v>
      </c>
      <c r="C66" t="s">
        <v>276</v>
      </c>
      <c r="D66">
        <v>1947</v>
      </c>
      <c r="E66" t="s">
        <v>278</v>
      </c>
      <c r="F66">
        <v>31.78916666666667</v>
      </c>
      <c r="G66">
        <v>-81.260750000000002</v>
      </c>
      <c r="H66" s="2">
        <v>17455.520833333328</v>
      </c>
      <c r="I66" t="s">
        <v>76</v>
      </c>
      <c r="L66">
        <v>3.66</v>
      </c>
      <c r="M66">
        <v>12</v>
      </c>
      <c r="N66" s="7">
        <f>ABS(F66-O66)+ABS(G66-P66)</f>
        <v>1.0826214904136329</v>
      </c>
      <c r="O66">
        <v>32.318389330830499</v>
      </c>
      <c r="P66">
        <v>-80.707351173750197</v>
      </c>
      <c r="T66" t="s">
        <v>26</v>
      </c>
      <c r="U66" t="s">
        <v>279</v>
      </c>
    </row>
    <row r="67" spans="1:21">
      <c r="A67" t="s">
        <v>280</v>
      </c>
      <c r="B67" t="s">
        <v>281</v>
      </c>
      <c r="C67" t="s">
        <v>282</v>
      </c>
      <c r="D67">
        <v>1948</v>
      </c>
      <c r="E67" t="s">
        <v>31</v>
      </c>
      <c r="F67">
        <v>29.269749999999998</v>
      </c>
      <c r="G67">
        <v>-90.399850000000001</v>
      </c>
      <c r="H67" s="2">
        <v>17780.333333333328</v>
      </c>
      <c r="J67" s="5"/>
      <c r="K67" s="5"/>
      <c r="L67" s="5">
        <v>1.83</v>
      </c>
      <c r="M67" s="5">
        <v>6</v>
      </c>
      <c r="N67" s="5">
        <v>2.5928999999999971</v>
      </c>
      <c r="O67">
        <v>30.3931</v>
      </c>
      <c r="P67">
        <v>-88.930300000000003</v>
      </c>
      <c r="Q67" s="6">
        <v>17777</v>
      </c>
      <c r="R67" s="6">
        <v>17783</v>
      </c>
      <c r="S67" s="5" t="s">
        <v>283</v>
      </c>
      <c r="T67" s="5" t="s">
        <v>52</v>
      </c>
      <c r="U67" t="s">
        <v>284</v>
      </c>
    </row>
    <row r="68" spans="1:21">
      <c r="A68" t="s">
        <v>285</v>
      </c>
      <c r="B68" t="s">
        <v>286</v>
      </c>
      <c r="C68" t="s">
        <v>287</v>
      </c>
      <c r="D68">
        <v>1948</v>
      </c>
      <c r="E68" t="s">
        <v>37</v>
      </c>
      <c r="F68">
        <v>25.8</v>
      </c>
      <c r="G68">
        <v>-81.3</v>
      </c>
      <c r="H68" s="2">
        <v>17798.208333333328</v>
      </c>
      <c r="L68">
        <v>1.83</v>
      </c>
      <c r="M68">
        <v>6</v>
      </c>
      <c r="N68">
        <v>1.73810000000001</v>
      </c>
      <c r="O68">
        <v>24.5472</v>
      </c>
      <c r="P68">
        <v>-81.785300000000007</v>
      </c>
      <c r="Q68" s="2">
        <v>17794</v>
      </c>
      <c r="R68" s="2">
        <v>17801</v>
      </c>
      <c r="S68" t="s">
        <v>288</v>
      </c>
      <c r="T68" t="s">
        <v>26</v>
      </c>
    </row>
    <row r="69" spans="1:21">
      <c r="A69" t="s">
        <v>289</v>
      </c>
      <c r="B69" t="s">
        <v>290</v>
      </c>
      <c r="C69" t="s">
        <v>291</v>
      </c>
      <c r="D69">
        <v>1948</v>
      </c>
      <c r="E69" t="s">
        <v>37</v>
      </c>
      <c r="F69">
        <v>25.19295</v>
      </c>
      <c r="G69">
        <v>-80.817049999999995</v>
      </c>
      <c r="H69" s="2">
        <v>17811.854166666672</v>
      </c>
      <c r="I69" t="s">
        <v>76</v>
      </c>
      <c r="J69" s="7"/>
      <c r="K69" s="7"/>
      <c r="L69" s="7">
        <v>1.4</v>
      </c>
      <c r="M69" s="7">
        <v>4.5</v>
      </c>
      <c r="N69" s="7">
        <f>ABS(F69-O69)+ABS(G69-P69)</f>
        <v>1.3013096547906002</v>
      </c>
      <c r="O69">
        <v>25.8298798514674</v>
      </c>
      <c r="P69" s="20">
        <v>-80.152670196676794</v>
      </c>
      <c r="Q69" s="7"/>
      <c r="R69" s="7"/>
      <c r="S69" s="7"/>
      <c r="T69" s="7" t="s">
        <v>26</v>
      </c>
      <c r="U69" t="s">
        <v>292</v>
      </c>
    </row>
    <row r="70" spans="1:21">
      <c r="A70" t="s">
        <v>293</v>
      </c>
      <c r="B70" t="s">
        <v>294</v>
      </c>
      <c r="C70" t="s">
        <v>295</v>
      </c>
      <c r="D70">
        <v>1949</v>
      </c>
      <c r="E70" t="s">
        <v>37</v>
      </c>
      <c r="F70">
        <v>26.6</v>
      </c>
      <c r="G70">
        <v>-80.05</v>
      </c>
      <c r="H70" s="2">
        <v>18136.979166666672</v>
      </c>
      <c r="J70" s="7" t="s">
        <v>296</v>
      </c>
      <c r="K70" s="7"/>
      <c r="L70" s="7">
        <v>2.42</v>
      </c>
      <c r="M70" s="7"/>
      <c r="N70" s="7">
        <v>0.14889999999999051</v>
      </c>
      <c r="O70">
        <v>26.705500000000001</v>
      </c>
      <c r="P70">
        <v>-80.006600000000006</v>
      </c>
      <c r="Q70" s="15">
        <v>18133</v>
      </c>
      <c r="R70" s="15">
        <v>18141</v>
      </c>
      <c r="S70" s="7" t="s">
        <v>297</v>
      </c>
      <c r="T70" s="7" t="s">
        <v>26</v>
      </c>
      <c r="U70" t="s">
        <v>298</v>
      </c>
    </row>
    <row r="71" spans="1:21">
      <c r="A71" t="s">
        <v>299</v>
      </c>
      <c r="B71" t="s">
        <v>300</v>
      </c>
      <c r="C71" t="s">
        <v>301</v>
      </c>
      <c r="D71">
        <v>1949</v>
      </c>
      <c r="E71" t="s">
        <v>24</v>
      </c>
      <c r="F71">
        <v>28.8</v>
      </c>
      <c r="G71">
        <v>-95.6</v>
      </c>
      <c r="H71" s="2">
        <v>18175.208333333328</v>
      </c>
      <c r="L71">
        <v>3.47</v>
      </c>
      <c r="M71">
        <v>11.4</v>
      </c>
      <c r="N71">
        <v>1.495599999999996</v>
      </c>
      <c r="O71">
        <v>29.687799999999999</v>
      </c>
      <c r="P71">
        <v>-94.992199999999997</v>
      </c>
      <c r="Q71" s="2">
        <v>18168</v>
      </c>
      <c r="R71" s="2">
        <v>18177</v>
      </c>
      <c r="S71" t="s">
        <v>302</v>
      </c>
      <c r="T71" t="s">
        <v>26</v>
      </c>
    </row>
    <row r="72" spans="1:21">
      <c r="A72" t="s">
        <v>303</v>
      </c>
      <c r="B72" t="s">
        <v>304</v>
      </c>
      <c r="C72" t="s">
        <v>305</v>
      </c>
      <c r="D72">
        <v>1950</v>
      </c>
      <c r="E72" t="s">
        <v>37</v>
      </c>
      <c r="F72">
        <v>27.7</v>
      </c>
      <c r="G72">
        <v>-83.5</v>
      </c>
      <c r="H72" s="2">
        <v>18510.5</v>
      </c>
      <c r="L72">
        <v>2.4384000000000001</v>
      </c>
      <c r="M72">
        <v>8</v>
      </c>
      <c r="N72">
        <v>0.94940000000000424</v>
      </c>
      <c r="O72">
        <v>27.968599999999999</v>
      </c>
      <c r="P72">
        <v>-82.819199999999995</v>
      </c>
      <c r="Q72" s="2">
        <v>18507</v>
      </c>
      <c r="R72" s="2">
        <v>18515</v>
      </c>
      <c r="S72" t="s">
        <v>306</v>
      </c>
      <c r="T72" t="s">
        <v>26</v>
      </c>
    </row>
    <row r="73" spans="1:21">
      <c r="A73" t="s">
        <v>307</v>
      </c>
      <c r="B73" t="s">
        <v>308</v>
      </c>
      <c r="C73" t="s">
        <v>309</v>
      </c>
      <c r="D73">
        <v>1950</v>
      </c>
      <c r="E73" t="s">
        <v>37</v>
      </c>
      <c r="F73">
        <v>25.7</v>
      </c>
      <c r="G73">
        <v>-80.2</v>
      </c>
      <c r="H73" s="2">
        <v>18554.208333333328</v>
      </c>
      <c r="J73">
        <v>1.52</v>
      </c>
      <c r="K73">
        <v>4.9868766404199469</v>
      </c>
      <c r="L73">
        <v>1.52</v>
      </c>
      <c r="M73">
        <v>4.9868766404199469</v>
      </c>
      <c r="N73">
        <v>0.23030000000001041</v>
      </c>
      <c r="O73">
        <v>25.85</v>
      </c>
      <c r="P73">
        <v>-80.119699999999995</v>
      </c>
      <c r="Q73" s="2">
        <v>18549</v>
      </c>
      <c r="R73" s="2">
        <v>18555</v>
      </c>
      <c r="S73" t="s">
        <v>310</v>
      </c>
      <c r="T73" t="s">
        <v>26</v>
      </c>
    </row>
    <row r="74" spans="1:21">
      <c r="A74" t="s">
        <v>311</v>
      </c>
      <c r="B74" t="s">
        <v>312</v>
      </c>
      <c r="C74" t="s">
        <v>313</v>
      </c>
      <c r="D74">
        <v>1951</v>
      </c>
      <c r="E74" t="s">
        <v>37</v>
      </c>
      <c r="F74">
        <v>26.75</v>
      </c>
      <c r="G74">
        <v>-82</v>
      </c>
      <c r="H74" s="2">
        <v>18903.458333333328</v>
      </c>
      <c r="T74" t="s">
        <v>66</v>
      </c>
    </row>
    <row r="75" spans="1:21">
      <c r="A75" t="s">
        <v>314</v>
      </c>
      <c r="B75" t="s">
        <v>315</v>
      </c>
      <c r="C75" t="s">
        <v>316</v>
      </c>
      <c r="D75">
        <v>1952</v>
      </c>
      <c r="E75" t="s">
        <v>75</v>
      </c>
      <c r="F75">
        <v>32.299999999999997</v>
      </c>
      <c r="G75">
        <v>-80.599999999999994</v>
      </c>
      <c r="H75" s="2">
        <v>19237.125</v>
      </c>
      <c r="T75" t="s">
        <v>66</v>
      </c>
    </row>
    <row r="76" spans="1:21">
      <c r="A76" t="s">
        <v>317</v>
      </c>
      <c r="B76" t="s">
        <v>318</v>
      </c>
      <c r="C76" t="s">
        <v>319</v>
      </c>
      <c r="D76">
        <v>1953</v>
      </c>
      <c r="E76" t="s">
        <v>81</v>
      </c>
      <c r="F76">
        <v>35.4</v>
      </c>
      <c r="G76">
        <v>-76.099999999999994</v>
      </c>
      <c r="H76" s="2">
        <v>19585.208333333328</v>
      </c>
      <c r="J76">
        <v>1.83</v>
      </c>
      <c r="K76">
        <v>6</v>
      </c>
      <c r="L76">
        <v>1.83</v>
      </c>
      <c r="M76">
        <v>6</v>
      </c>
      <c r="N76">
        <v>1.094099999999997</v>
      </c>
      <c r="O76">
        <v>34.977200000000003</v>
      </c>
      <c r="P76">
        <v>-76.771299999999997</v>
      </c>
      <c r="Q76" s="2">
        <v>19582</v>
      </c>
      <c r="R76" s="2">
        <v>19587</v>
      </c>
      <c r="S76" t="s">
        <v>320</v>
      </c>
      <c r="T76" t="s">
        <v>26</v>
      </c>
    </row>
    <row r="77" spans="1:21">
      <c r="A77" t="s">
        <v>321</v>
      </c>
      <c r="B77" t="s">
        <v>322</v>
      </c>
      <c r="C77" t="s">
        <v>323</v>
      </c>
      <c r="D77">
        <v>1953</v>
      </c>
      <c r="E77" t="s">
        <v>37</v>
      </c>
      <c r="F77">
        <v>30.43333333333333</v>
      </c>
      <c r="G77">
        <v>-86.166666666666671</v>
      </c>
      <c r="H77" s="2">
        <v>19628.666666666672</v>
      </c>
      <c r="I77" t="s">
        <v>324</v>
      </c>
      <c r="J77">
        <v>1.524</v>
      </c>
      <c r="K77">
        <v>5</v>
      </c>
      <c r="N77">
        <v>1.8915999999999999</v>
      </c>
      <c r="O77">
        <v>29.726700000000001</v>
      </c>
      <c r="P77">
        <v>-84.981700000000004</v>
      </c>
      <c r="Q77" s="2">
        <v>19625</v>
      </c>
      <c r="R77" s="2">
        <v>19630</v>
      </c>
      <c r="S77" t="s">
        <v>325</v>
      </c>
      <c r="T77" t="s">
        <v>326</v>
      </c>
    </row>
    <row r="78" spans="1:21">
      <c r="A78" t="s">
        <v>327</v>
      </c>
      <c r="B78" t="s">
        <v>328</v>
      </c>
      <c r="C78" t="s">
        <v>329</v>
      </c>
      <c r="D78">
        <v>1954</v>
      </c>
      <c r="E78" t="s">
        <v>81</v>
      </c>
      <c r="F78">
        <v>34.558166666666672</v>
      </c>
      <c r="G78">
        <v>-75.772766666666669</v>
      </c>
      <c r="H78" s="2">
        <v>19967.041666666672</v>
      </c>
      <c r="I78" t="s">
        <v>61</v>
      </c>
      <c r="L78">
        <v>0.46</v>
      </c>
      <c r="M78">
        <v>1.51</v>
      </c>
      <c r="N78" s="7">
        <f>ABS(F78-O78)+ABS(G78-P78)</f>
        <v>2.5120000000000005</v>
      </c>
      <c r="O78">
        <v>34.226700000000001</v>
      </c>
      <c r="P78">
        <v>-77.953299999999999</v>
      </c>
      <c r="Q78" s="2"/>
      <c r="R78" s="2"/>
      <c r="T78" t="s">
        <v>52</v>
      </c>
      <c r="U78" t="s">
        <v>330</v>
      </c>
    </row>
    <row r="79" spans="1:21">
      <c r="A79" t="s">
        <v>331</v>
      </c>
      <c r="B79" t="s">
        <v>328</v>
      </c>
      <c r="C79" t="s">
        <v>329</v>
      </c>
      <c r="D79">
        <v>1954</v>
      </c>
      <c r="E79" t="s">
        <v>198</v>
      </c>
      <c r="F79">
        <v>40.9</v>
      </c>
      <c r="G79">
        <v>-72.2</v>
      </c>
      <c r="H79" s="2">
        <v>19967.583333333328</v>
      </c>
      <c r="L79">
        <v>4.6024799999999999</v>
      </c>
      <c r="M79">
        <v>15.1</v>
      </c>
      <c r="N79">
        <v>1.702599999999997</v>
      </c>
      <c r="O79">
        <v>41.785499999999999</v>
      </c>
      <c r="P79">
        <v>-71.382900000000006</v>
      </c>
      <c r="Q79" s="2">
        <v>19966</v>
      </c>
      <c r="R79" s="2">
        <v>19967</v>
      </c>
      <c r="S79" t="s">
        <v>332</v>
      </c>
      <c r="T79" t="s">
        <v>26</v>
      </c>
    </row>
    <row r="80" spans="1:21">
      <c r="A80" t="s">
        <v>333</v>
      </c>
      <c r="B80" t="s">
        <v>334</v>
      </c>
      <c r="C80" t="s">
        <v>335</v>
      </c>
      <c r="D80">
        <v>1954</v>
      </c>
      <c r="E80" t="s">
        <v>336</v>
      </c>
      <c r="F80">
        <v>41.7</v>
      </c>
      <c r="G80">
        <v>-70.3</v>
      </c>
      <c r="H80" s="2">
        <v>19978.791666666672</v>
      </c>
      <c r="J80">
        <v>1.83</v>
      </c>
      <c r="K80">
        <v>6</v>
      </c>
      <c r="N80" s="7">
        <f>ABS(F80-O80)+ABS(G80-P80)</f>
        <v>1.4972070373900692E-2</v>
      </c>
      <c r="O80">
        <v>41.7148107843053</v>
      </c>
      <c r="P80">
        <v>-70.300161286068601</v>
      </c>
      <c r="T80" t="s">
        <v>326</v>
      </c>
      <c r="U80" t="s">
        <v>337</v>
      </c>
    </row>
    <row r="81" spans="1:21">
      <c r="A81" t="s">
        <v>338</v>
      </c>
      <c r="B81" t="s">
        <v>339</v>
      </c>
      <c r="C81" t="s">
        <v>340</v>
      </c>
      <c r="D81">
        <v>1954</v>
      </c>
      <c r="E81" t="s">
        <v>75</v>
      </c>
      <c r="F81">
        <v>33.9</v>
      </c>
      <c r="G81">
        <v>-78.599999999999994</v>
      </c>
      <c r="H81" s="2">
        <v>20012.645833333328</v>
      </c>
      <c r="L81">
        <v>5.49</v>
      </c>
      <c r="M81">
        <v>18</v>
      </c>
      <c r="N81">
        <v>0.12899999999999071</v>
      </c>
      <c r="O81">
        <v>33.860999999999997</v>
      </c>
      <c r="P81">
        <v>-78.510000000000005</v>
      </c>
      <c r="T81" t="s">
        <v>26</v>
      </c>
    </row>
    <row r="82" spans="1:21">
      <c r="A82" t="s">
        <v>341</v>
      </c>
      <c r="B82" t="s">
        <v>342</v>
      </c>
      <c r="C82" t="s">
        <v>343</v>
      </c>
      <c r="D82">
        <v>1955</v>
      </c>
      <c r="E82" t="s">
        <v>81</v>
      </c>
      <c r="F82">
        <v>34.799999999999997</v>
      </c>
      <c r="G82">
        <v>-76.666666666666671</v>
      </c>
      <c r="H82" s="2">
        <v>20313.666666666672</v>
      </c>
      <c r="J82">
        <v>1.65</v>
      </c>
      <c r="K82">
        <v>5.413386</v>
      </c>
      <c r="L82">
        <v>2.42</v>
      </c>
      <c r="M82">
        <v>7.9396000000000004</v>
      </c>
      <c r="N82">
        <v>0.13193333333333609</v>
      </c>
      <c r="O82">
        <v>34.690199999999997</v>
      </c>
      <c r="P82">
        <v>-76.688800000000001</v>
      </c>
      <c r="T82" s="11" t="s">
        <v>26</v>
      </c>
    </row>
    <row r="83" spans="1:21">
      <c r="A83" t="s">
        <v>344</v>
      </c>
      <c r="B83" t="s">
        <v>345</v>
      </c>
      <c r="C83" t="s">
        <v>346</v>
      </c>
      <c r="D83">
        <v>1955</v>
      </c>
      <c r="E83" t="s">
        <v>81</v>
      </c>
      <c r="F83">
        <v>34.084166666666668</v>
      </c>
      <c r="G83">
        <v>-77.944166666666675</v>
      </c>
      <c r="H83" s="2">
        <v>20318.520833333328</v>
      </c>
      <c r="J83">
        <v>2.4300000000000002</v>
      </c>
      <c r="K83">
        <v>8</v>
      </c>
      <c r="N83" s="7">
        <f>ABS(F83-O83)+ABS(G83-P83)</f>
        <v>0.24192963758599717</v>
      </c>
      <c r="O83">
        <v>34.185291645352997</v>
      </c>
      <c r="P83">
        <v>-77.803362007767007</v>
      </c>
      <c r="Q83" s="2">
        <v>20308</v>
      </c>
      <c r="R83" s="2">
        <v>20322</v>
      </c>
      <c r="S83" t="s">
        <v>347</v>
      </c>
      <c r="T83" t="s">
        <v>26</v>
      </c>
      <c r="U83" s="22" t="s">
        <v>348</v>
      </c>
    </row>
    <row r="84" spans="1:21">
      <c r="A84" t="s">
        <v>349</v>
      </c>
      <c r="B84" t="s">
        <v>345</v>
      </c>
      <c r="C84" t="s">
        <v>346</v>
      </c>
      <c r="D84">
        <v>1955</v>
      </c>
      <c r="E84" t="s">
        <v>198</v>
      </c>
      <c r="F84">
        <v>40.535800000000002</v>
      </c>
      <c r="G84">
        <v>-74.25736666666667</v>
      </c>
      <c r="H84" s="2">
        <v>20320.291666666672</v>
      </c>
      <c r="I84" t="s">
        <v>61</v>
      </c>
      <c r="J84">
        <v>0</v>
      </c>
      <c r="K84">
        <v>0</v>
      </c>
      <c r="L84">
        <v>1.01</v>
      </c>
      <c r="M84">
        <v>3.32</v>
      </c>
      <c r="N84" s="7">
        <f>ABS(F84-O84)+ABS(G84-P84)</f>
        <v>0.40656666666667007</v>
      </c>
      <c r="O84">
        <v>40.700000000000003</v>
      </c>
      <c r="P84">
        <v>-74.015000000000001</v>
      </c>
      <c r="Q84" s="2">
        <v>20308</v>
      </c>
      <c r="R84" s="2">
        <v>20322</v>
      </c>
      <c r="S84" t="s">
        <v>347</v>
      </c>
      <c r="T84" t="s">
        <v>230</v>
      </c>
      <c r="U84" t="s">
        <v>350</v>
      </c>
    </row>
    <row r="85" spans="1:21">
      <c r="A85" t="s">
        <v>351</v>
      </c>
      <c r="B85" t="s">
        <v>352</v>
      </c>
      <c r="C85" t="s">
        <v>353</v>
      </c>
      <c r="D85">
        <v>1955</v>
      </c>
      <c r="E85" t="s">
        <v>81</v>
      </c>
      <c r="F85">
        <v>34.75</v>
      </c>
      <c r="G85">
        <v>-76.7</v>
      </c>
      <c r="H85" s="2">
        <v>20351.479166666672</v>
      </c>
      <c r="I85" t="s">
        <v>76</v>
      </c>
      <c r="L85">
        <v>3.2</v>
      </c>
      <c r="M85">
        <v>10.5</v>
      </c>
      <c r="N85" s="7">
        <f>ABS(F85-O85)+ABS(G85-P85)</f>
        <v>0.68353612214308868</v>
      </c>
      <c r="O85">
        <v>35.102184920478997</v>
      </c>
      <c r="P85">
        <v>-77.031351201664094</v>
      </c>
      <c r="Q85" s="2">
        <v>20342</v>
      </c>
      <c r="R85" s="2">
        <v>20356</v>
      </c>
      <c r="S85" t="s">
        <v>354</v>
      </c>
      <c r="T85" t="s">
        <v>26</v>
      </c>
      <c r="U85" t="s">
        <v>355</v>
      </c>
    </row>
    <row r="86" spans="1:21">
      <c r="A86" t="s">
        <v>356</v>
      </c>
      <c r="B86" t="s">
        <v>357</v>
      </c>
      <c r="C86" t="s">
        <v>358</v>
      </c>
      <c r="D86">
        <v>1956</v>
      </c>
      <c r="E86" t="s">
        <v>31</v>
      </c>
      <c r="F86">
        <v>30.359549999999999</v>
      </c>
      <c r="G86">
        <v>-86.496233333333336</v>
      </c>
      <c r="H86" s="2">
        <v>20722.979166666672</v>
      </c>
      <c r="I86" t="s">
        <v>61</v>
      </c>
      <c r="L86">
        <v>2.2599999999999998</v>
      </c>
      <c r="M86">
        <v>7.4</v>
      </c>
      <c r="N86">
        <v>0.69278333333332753</v>
      </c>
      <c r="O86">
        <v>30.238600000000002</v>
      </c>
      <c r="P86">
        <v>-85.924400000000006</v>
      </c>
      <c r="Q86" s="2">
        <v>20719</v>
      </c>
      <c r="R86" s="2">
        <v>20728</v>
      </c>
      <c r="S86" t="s">
        <v>359</v>
      </c>
      <c r="T86" t="s">
        <v>26</v>
      </c>
    </row>
    <row r="87" spans="1:21">
      <c r="A87" t="s">
        <v>360</v>
      </c>
      <c r="B87" t="s">
        <v>361</v>
      </c>
      <c r="C87" t="s">
        <v>362</v>
      </c>
      <c r="D87">
        <v>1957</v>
      </c>
      <c r="E87" t="s">
        <v>24</v>
      </c>
      <c r="F87">
        <v>29.8</v>
      </c>
      <c r="G87">
        <v>-93.7</v>
      </c>
      <c r="H87" s="2">
        <v>20998.5625</v>
      </c>
      <c r="I87" t="s">
        <v>61</v>
      </c>
      <c r="L87">
        <v>4.24</v>
      </c>
      <c r="M87">
        <v>13.9</v>
      </c>
      <c r="N87">
        <v>0.60110000000000596</v>
      </c>
      <c r="O87">
        <v>29.784700000000001</v>
      </c>
      <c r="P87">
        <v>-93.114199999999997</v>
      </c>
      <c r="Q87" s="2">
        <v>20996</v>
      </c>
      <c r="R87" s="2">
        <v>21000</v>
      </c>
      <c r="S87" t="s">
        <v>363</v>
      </c>
      <c r="T87" t="s">
        <v>26</v>
      </c>
    </row>
    <row r="88" spans="1:21">
      <c r="A88" t="s">
        <v>364</v>
      </c>
      <c r="B88" t="s">
        <v>365</v>
      </c>
      <c r="C88" t="s">
        <v>366</v>
      </c>
      <c r="D88">
        <v>1957</v>
      </c>
      <c r="E88" t="s">
        <v>31</v>
      </c>
      <c r="F88">
        <v>29.2</v>
      </c>
      <c r="G88">
        <v>-90.9</v>
      </c>
      <c r="H88" s="2">
        <v>21081.5</v>
      </c>
      <c r="I88" t="s">
        <v>324</v>
      </c>
      <c r="J88">
        <v>1.0668</v>
      </c>
      <c r="K88">
        <v>3.5</v>
      </c>
      <c r="N88" s="7">
        <f>ABS(F88-O88)+ABS(G88-P88)</f>
        <v>1.5118471483851046</v>
      </c>
      <c r="O88">
        <v>29.350047148385102</v>
      </c>
      <c r="P88">
        <v>-89.538200000000003</v>
      </c>
      <c r="Q88" s="2">
        <v>21079</v>
      </c>
      <c r="R88" s="2">
        <v>21082</v>
      </c>
      <c r="S88" t="s">
        <v>367</v>
      </c>
      <c r="T88" t="s">
        <v>326</v>
      </c>
      <c r="U88" t="s">
        <v>368</v>
      </c>
    </row>
    <row r="89" spans="1:21">
      <c r="A89" t="s">
        <v>369</v>
      </c>
      <c r="B89" t="s">
        <v>370</v>
      </c>
      <c r="C89" t="s">
        <v>371</v>
      </c>
      <c r="D89">
        <v>1958</v>
      </c>
      <c r="E89" t="s">
        <v>81</v>
      </c>
      <c r="F89">
        <v>33.766500000000001</v>
      </c>
      <c r="G89">
        <v>-77.791899999999998</v>
      </c>
      <c r="H89" s="2">
        <v>21455.708333333328</v>
      </c>
      <c r="I89" t="s">
        <v>61</v>
      </c>
      <c r="L89">
        <v>1.7678400000000001</v>
      </c>
      <c r="M89">
        <v>5.8</v>
      </c>
      <c r="N89">
        <v>0.60009999999999764</v>
      </c>
      <c r="O89">
        <v>33.908999999999999</v>
      </c>
      <c r="P89">
        <v>-78.249499999999998</v>
      </c>
      <c r="Q89" s="2">
        <v>21455</v>
      </c>
      <c r="R89" s="2">
        <v>21456</v>
      </c>
      <c r="S89" t="s">
        <v>372</v>
      </c>
      <c r="T89" t="s">
        <v>26</v>
      </c>
    </row>
    <row r="90" spans="1:21">
      <c r="A90" t="s">
        <v>373</v>
      </c>
      <c r="B90" t="s">
        <v>374</v>
      </c>
      <c r="C90" t="s">
        <v>375</v>
      </c>
      <c r="D90">
        <v>1959</v>
      </c>
      <c r="E90" t="s">
        <v>31</v>
      </c>
      <c r="F90">
        <v>29.65</v>
      </c>
      <c r="G90">
        <v>-91.6</v>
      </c>
      <c r="H90" s="2">
        <v>21700.9375</v>
      </c>
      <c r="L90">
        <v>0.91439999999999999</v>
      </c>
      <c r="M90">
        <v>3</v>
      </c>
      <c r="N90">
        <v>0.49999999999998929</v>
      </c>
      <c r="O90">
        <v>29.366700000000002</v>
      </c>
      <c r="P90">
        <v>-91.383300000000006</v>
      </c>
      <c r="Q90" s="2">
        <v>21698</v>
      </c>
      <c r="R90" s="2">
        <v>21703</v>
      </c>
      <c r="S90" t="s">
        <v>376</v>
      </c>
      <c r="T90" t="s">
        <v>26</v>
      </c>
    </row>
    <row r="91" spans="1:21">
      <c r="A91" t="s">
        <v>377</v>
      </c>
      <c r="B91" t="s">
        <v>378</v>
      </c>
      <c r="C91" t="s">
        <v>379</v>
      </c>
      <c r="D91">
        <v>1959</v>
      </c>
      <c r="E91" t="s">
        <v>37</v>
      </c>
      <c r="F91">
        <v>28</v>
      </c>
      <c r="G91">
        <v>-82.8</v>
      </c>
      <c r="H91" s="2">
        <v>21719.333333333328</v>
      </c>
      <c r="I91" t="s">
        <v>61</v>
      </c>
      <c r="J91">
        <v>0.67</v>
      </c>
      <c r="K91">
        <v>2.2120000000000002</v>
      </c>
      <c r="L91">
        <v>0.77</v>
      </c>
      <c r="M91">
        <v>2.5299999999999998</v>
      </c>
      <c r="N91" s="7">
        <f>ABS(F91-O91)+ABS(G91-P91)</f>
        <v>0.40339323244870329</v>
      </c>
      <c r="O91">
        <v>27.7693270743755</v>
      </c>
      <c r="P91" s="20">
        <v>-82.627279693175794</v>
      </c>
      <c r="T91" t="s">
        <v>230</v>
      </c>
      <c r="U91" t="s">
        <v>380</v>
      </c>
    </row>
    <row r="92" spans="1:21">
      <c r="A92" t="s">
        <v>381</v>
      </c>
      <c r="B92" t="s">
        <v>382</v>
      </c>
      <c r="C92" t="s">
        <v>383</v>
      </c>
      <c r="D92">
        <v>1959</v>
      </c>
      <c r="E92" t="s">
        <v>24</v>
      </c>
      <c r="F92">
        <v>29.1</v>
      </c>
      <c r="G92">
        <v>-95.2</v>
      </c>
      <c r="H92" s="2">
        <v>21756.208333333328</v>
      </c>
      <c r="I92" t="s">
        <v>61</v>
      </c>
      <c r="L92">
        <v>2.4079199999999998</v>
      </c>
      <c r="M92">
        <v>7.9</v>
      </c>
      <c r="N92">
        <v>0.7853000000000101</v>
      </c>
      <c r="O92">
        <v>29.673100000000002</v>
      </c>
      <c r="P92">
        <v>-94.987799999999993</v>
      </c>
      <c r="Q92" s="2">
        <v>21754</v>
      </c>
      <c r="R92" s="2">
        <v>21759</v>
      </c>
      <c r="S92" t="s">
        <v>384</v>
      </c>
      <c r="T92" t="s">
        <v>26</v>
      </c>
    </row>
    <row r="93" spans="1:21">
      <c r="A93" t="s">
        <v>385</v>
      </c>
      <c r="B93" t="s">
        <v>386</v>
      </c>
      <c r="C93" t="s">
        <v>387</v>
      </c>
      <c r="D93">
        <v>1959</v>
      </c>
      <c r="E93" t="s">
        <v>75</v>
      </c>
      <c r="F93">
        <v>32.5</v>
      </c>
      <c r="G93">
        <v>-80.5</v>
      </c>
      <c r="H93" s="2">
        <v>21822.729166666672</v>
      </c>
      <c r="I93" t="s">
        <v>61</v>
      </c>
      <c r="L93">
        <v>3.6271200000000001</v>
      </c>
      <c r="M93">
        <v>11.9</v>
      </c>
      <c r="N93">
        <v>0.23040000000000299</v>
      </c>
      <c r="O93">
        <v>32.513300000000001</v>
      </c>
      <c r="P93">
        <v>-80.282899999999998</v>
      </c>
      <c r="Q93" s="2">
        <v>21813</v>
      </c>
      <c r="R93" s="2">
        <v>21825</v>
      </c>
      <c r="S93" t="s">
        <v>388</v>
      </c>
      <c r="T93" t="s">
        <v>26</v>
      </c>
    </row>
    <row r="94" spans="1:21">
      <c r="A94" t="s">
        <v>389</v>
      </c>
      <c r="B94" t="s">
        <v>390</v>
      </c>
      <c r="C94" t="s">
        <v>391</v>
      </c>
      <c r="D94">
        <v>1960</v>
      </c>
      <c r="E94" t="s">
        <v>24</v>
      </c>
      <c r="F94">
        <v>27.125</v>
      </c>
      <c r="G94">
        <v>-97.474999999999994</v>
      </c>
      <c r="H94" s="2">
        <v>22091.229166666672</v>
      </c>
      <c r="I94" t="s">
        <v>76</v>
      </c>
      <c r="L94">
        <v>1.07</v>
      </c>
      <c r="M94">
        <v>3.5</v>
      </c>
      <c r="N94">
        <v>0.74129999999999541</v>
      </c>
      <c r="O94">
        <v>27.784199999999998</v>
      </c>
      <c r="P94">
        <v>-97.392899999999997</v>
      </c>
      <c r="Q94" s="2">
        <v>22089</v>
      </c>
      <c r="R94" s="2">
        <v>22096</v>
      </c>
      <c r="S94" t="s">
        <v>392</v>
      </c>
      <c r="T94" t="s">
        <v>26</v>
      </c>
      <c r="U94" t="s">
        <v>393</v>
      </c>
    </row>
    <row r="95" spans="1:21">
      <c r="A95" t="s">
        <v>394</v>
      </c>
      <c r="B95" t="s">
        <v>395</v>
      </c>
      <c r="C95" t="s">
        <v>396</v>
      </c>
      <c r="D95">
        <v>1960</v>
      </c>
      <c r="E95" t="s">
        <v>37</v>
      </c>
      <c r="F95">
        <v>29.7</v>
      </c>
      <c r="G95">
        <v>-83.5</v>
      </c>
      <c r="H95" s="2">
        <v>22126.25</v>
      </c>
      <c r="I95" t="s">
        <v>61</v>
      </c>
      <c r="J95">
        <v>0.63</v>
      </c>
      <c r="K95">
        <v>2.073</v>
      </c>
      <c r="L95">
        <v>0.86</v>
      </c>
      <c r="M95">
        <v>2.83</v>
      </c>
      <c r="N95" s="7">
        <f>ABS(F95-O95)+ABS(G95-P95)</f>
        <v>2.8033932324487054</v>
      </c>
      <c r="O95">
        <v>27.7693270743755</v>
      </c>
      <c r="P95" s="20">
        <v>-82.627279693175794</v>
      </c>
      <c r="T95" t="s">
        <v>52</v>
      </c>
      <c r="U95" t="s">
        <v>397</v>
      </c>
    </row>
    <row r="96" spans="1:21">
      <c r="A96" t="s">
        <v>398</v>
      </c>
      <c r="B96" t="s">
        <v>399</v>
      </c>
      <c r="C96" t="s">
        <v>400</v>
      </c>
      <c r="D96">
        <v>1960</v>
      </c>
      <c r="E96" t="s">
        <v>37</v>
      </c>
      <c r="F96">
        <v>25.143049999999999</v>
      </c>
      <c r="G96">
        <v>-81.187600000000003</v>
      </c>
      <c r="H96" s="2">
        <v>22169.4375</v>
      </c>
      <c r="L96">
        <v>4.1757600000000004</v>
      </c>
      <c r="M96">
        <v>13.7</v>
      </c>
      <c r="N96">
        <v>0.80675000000000097</v>
      </c>
      <c r="O96">
        <v>25.015599999999999</v>
      </c>
      <c r="P96">
        <v>-80.508300000000006</v>
      </c>
      <c r="Q96" s="2">
        <v>22157</v>
      </c>
      <c r="R96" s="2">
        <v>22173</v>
      </c>
      <c r="S96" t="s">
        <v>401</v>
      </c>
      <c r="T96" t="s">
        <v>26</v>
      </c>
    </row>
    <row r="97" spans="1:21">
      <c r="A97" t="s">
        <v>402</v>
      </c>
      <c r="B97" t="s">
        <v>399</v>
      </c>
      <c r="C97" t="s">
        <v>400</v>
      </c>
      <c r="D97">
        <v>1960</v>
      </c>
      <c r="E97" t="s">
        <v>81</v>
      </c>
      <c r="F97">
        <v>34.725000000000001</v>
      </c>
      <c r="G97">
        <v>-77.150000000000006</v>
      </c>
      <c r="H97" s="2">
        <v>22171.1875</v>
      </c>
      <c r="J97">
        <v>2.19</v>
      </c>
      <c r="K97">
        <v>7.1850393700787398</v>
      </c>
      <c r="L97">
        <v>3.21</v>
      </c>
      <c r="M97">
        <v>10.531496062992129</v>
      </c>
      <c r="N97">
        <v>0.43620000000001369</v>
      </c>
      <c r="O97">
        <v>34.698799999999999</v>
      </c>
      <c r="P97">
        <v>-76.739999999999995</v>
      </c>
      <c r="Q97" s="2">
        <v>22168</v>
      </c>
      <c r="R97" s="2">
        <v>22172</v>
      </c>
      <c r="S97" t="s">
        <v>403</v>
      </c>
      <c r="T97" t="s">
        <v>26</v>
      </c>
    </row>
    <row r="98" spans="1:21">
      <c r="A98" t="s">
        <v>404</v>
      </c>
      <c r="B98" t="s">
        <v>399</v>
      </c>
      <c r="C98" t="s">
        <v>400</v>
      </c>
      <c r="D98">
        <v>1960</v>
      </c>
      <c r="E98" t="s">
        <v>198</v>
      </c>
      <c r="F98">
        <v>41</v>
      </c>
      <c r="G98">
        <v>-72.650000000000006</v>
      </c>
      <c r="H98" s="2">
        <v>22171.8125</v>
      </c>
      <c r="L98">
        <v>3.2004000000000001</v>
      </c>
      <c r="M98">
        <v>10.5</v>
      </c>
      <c r="N98">
        <v>1.588499999999996</v>
      </c>
      <c r="O98">
        <v>40.5869</v>
      </c>
      <c r="P98">
        <v>-73.825400000000002</v>
      </c>
      <c r="Q98" s="2">
        <v>22168</v>
      </c>
      <c r="R98" s="2">
        <v>22172</v>
      </c>
      <c r="S98" t="s">
        <v>403</v>
      </c>
      <c r="T98" t="s">
        <v>26</v>
      </c>
    </row>
    <row r="99" spans="1:21">
      <c r="A99" t="s">
        <v>405</v>
      </c>
      <c r="B99" t="s">
        <v>406</v>
      </c>
      <c r="C99" t="s">
        <v>407</v>
      </c>
      <c r="D99">
        <v>1960</v>
      </c>
      <c r="E99" t="s">
        <v>45</v>
      </c>
      <c r="F99">
        <v>30.4</v>
      </c>
      <c r="G99">
        <v>-89</v>
      </c>
      <c r="H99" s="2">
        <v>22174.875</v>
      </c>
      <c r="I99" t="s">
        <v>61</v>
      </c>
      <c r="L99">
        <v>2.1339999999999999</v>
      </c>
      <c r="M99">
        <v>7</v>
      </c>
      <c r="N99">
        <v>1.5364</v>
      </c>
      <c r="O99">
        <v>29.3825</v>
      </c>
      <c r="P99">
        <v>-89.518900000000002</v>
      </c>
      <c r="Q99" s="2">
        <v>22173</v>
      </c>
      <c r="R99" s="2">
        <v>22176</v>
      </c>
      <c r="S99" t="s">
        <v>408</v>
      </c>
      <c r="T99" t="s">
        <v>26</v>
      </c>
    </row>
    <row r="100" spans="1:21">
      <c r="A100" t="s">
        <v>409</v>
      </c>
      <c r="B100" t="s">
        <v>410</v>
      </c>
      <c r="C100" t="s">
        <v>411</v>
      </c>
      <c r="D100">
        <v>1961</v>
      </c>
      <c r="E100" t="s">
        <v>24</v>
      </c>
      <c r="F100">
        <v>28.375</v>
      </c>
      <c r="G100">
        <v>-96.656733333333335</v>
      </c>
      <c r="H100" s="2">
        <v>22535.916666666672</v>
      </c>
      <c r="I100" t="s">
        <v>61</v>
      </c>
      <c r="L100">
        <v>6.71</v>
      </c>
      <c r="M100">
        <v>22</v>
      </c>
      <c r="N100">
        <v>0.26803333333333867</v>
      </c>
      <c r="O100">
        <v>28.609500000000001</v>
      </c>
      <c r="P100">
        <v>-96.623199999999997</v>
      </c>
      <c r="Q100" s="2">
        <v>22527</v>
      </c>
      <c r="R100" s="2">
        <v>22540</v>
      </c>
      <c r="S100" t="s">
        <v>412</v>
      </c>
      <c r="T100" t="s">
        <v>26</v>
      </c>
    </row>
    <row r="101" spans="1:21">
      <c r="A101" t="s">
        <v>413</v>
      </c>
      <c r="B101" t="s">
        <v>414</v>
      </c>
      <c r="C101" t="s">
        <v>366</v>
      </c>
      <c r="D101">
        <v>1961</v>
      </c>
      <c r="E101" t="s">
        <v>336</v>
      </c>
      <c r="F101">
        <v>40.937199999999997</v>
      </c>
      <c r="G101">
        <v>-70.444599999999994</v>
      </c>
      <c r="H101" s="2">
        <v>22545.875</v>
      </c>
      <c r="I101" t="s">
        <v>61</v>
      </c>
      <c r="J101">
        <v>0.44</v>
      </c>
      <c r="K101">
        <v>1.4570000000000001</v>
      </c>
      <c r="L101">
        <v>0.79</v>
      </c>
      <c r="M101">
        <v>2.6</v>
      </c>
      <c r="N101" s="7">
        <f>ABS(F101-O101)+ABS(G101-P101)</f>
        <v>0.81320000000000903</v>
      </c>
      <c r="O101">
        <v>41.523333000000001</v>
      </c>
      <c r="P101">
        <v>-70.671666999999999</v>
      </c>
      <c r="T101" t="s">
        <v>230</v>
      </c>
      <c r="U101" t="s">
        <v>415</v>
      </c>
    </row>
    <row r="102" spans="1:21">
      <c r="A102" t="s">
        <v>416</v>
      </c>
      <c r="B102" t="s">
        <v>417</v>
      </c>
      <c r="C102" t="s">
        <v>418</v>
      </c>
      <c r="D102">
        <v>1962</v>
      </c>
      <c r="E102" t="s">
        <v>81</v>
      </c>
      <c r="F102">
        <v>34.526416666666663</v>
      </c>
      <c r="G102">
        <v>-76.099666666666664</v>
      </c>
      <c r="H102" s="2">
        <v>22886.354166666672</v>
      </c>
      <c r="I102" t="s">
        <v>324</v>
      </c>
      <c r="L102">
        <v>0.91439999999999999</v>
      </c>
      <c r="M102">
        <v>3</v>
      </c>
      <c r="N102">
        <v>1.891449999999999</v>
      </c>
      <c r="O102">
        <v>35.911099999999998</v>
      </c>
      <c r="P102">
        <v>-75.5929</v>
      </c>
      <c r="Q102" s="2">
        <v>22884</v>
      </c>
      <c r="R102" s="2">
        <v>22891</v>
      </c>
      <c r="S102" t="s">
        <v>419</v>
      </c>
      <c r="T102" t="s">
        <v>26</v>
      </c>
      <c r="U102" t="s">
        <v>420</v>
      </c>
    </row>
    <row r="103" spans="1:21">
      <c r="A103" t="s">
        <v>421</v>
      </c>
      <c r="B103" t="s">
        <v>422</v>
      </c>
      <c r="C103" t="s">
        <v>423</v>
      </c>
      <c r="D103">
        <v>1962</v>
      </c>
      <c r="E103" t="s">
        <v>424</v>
      </c>
      <c r="F103">
        <v>43.605133333333328</v>
      </c>
      <c r="G103">
        <v>-66.25663333333334</v>
      </c>
      <c r="H103" s="2">
        <v>22927.041666666672</v>
      </c>
      <c r="J103" s="7"/>
      <c r="K103" s="7"/>
      <c r="L103" s="7"/>
      <c r="M103" s="7"/>
      <c r="N103" s="7"/>
      <c r="Q103" s="7"/>
      <c r="R103" s="7"/>
      <c r="S103" s="7"/>
      <c r="T103" s="7" t="s">
        <v>66</v>
      </c>
      <c r="U103" t="s">
        <v>425</v>
      </c>
    </row>
    <row r="104" spans="1:21">
      <c r="A104" t="s">
        <v>426</v>
      </c>
      <c r="B104" t="s">
        <v>427</v>
      </c>
      <c r="C104" t="s">
        <v>428</v>
      </c>
      <c r="D104">
        <v>1963</v>
      </c>
      <c r="E104" t="s">
        <v>24</v>
      </c>
      <c r="F104">
        <v>29.55833333333333</v>
      </c>
      <c r="G104">
        <v>-94.405199999999994</v>
      </c>
      <c r="H104" s="2">
        <v>23271.583333333328</v>
      </c>
      <c r="L104">
        <v>1.8288</v>
      </c>
      <c r="M104">
        <v>6</v>
      </c>
      <c r="N104">
        <v>1.264866666666659</v>
      </c>
      <c r="O104">
        <v>29.7622</v>
      </c>
      <c r="P104">
        <v>-93.344200000000001</v>
      </c>
      <c r="Q104" s="2">
        <v>23270</v>
      </c>
      <c r="R104" s="2">
        <v>23274</v>
      </c>
      <c r="S104" t="s">
        <v>429</v>
      </c>
      <c r="T104" t="s">
        <v>26</v>
      </c>
    </row>
    <row r="105" spans="1:21">
      <c r="A105" t="s">
        <v>430</v>
      </c>
      <c r="B105" t="s">
        <v>431</v>
      </c>
      <c r="C105" t="s">
        <v>432</v>
      </c>
      <c r="D105">
        <v>1964</v>
      </c>
      <c r="E105" t="s">
        <v>24</v>
      </c>
      <c r="F105">
        <v>28.716416666666671</v>
      </c>
      <c r="G105">
        <v>-95.699916666666667</v>
      </c>
      <c r="H105" s="2">
        <v>23596.895833333328</v>
      </c>
      <c r="I105" t="s">
        <v>61</v>
      </c>
      <c r="L105">
        <v>1.2192000000000001</v>
      </c>
      <c r="M105">
        <v>4</v>
      </c>
      <c r="N105">
        <v>0.23960000000000289</v>
      </c>
      <c r="O105">
        <v>28.804400000000001</v>
      </c>
      <c r="P105">
        <v>-95.548299999999998</v>
      </c>
      <c r="Q105" s="2">
        <v>23594</v>
      </c>
      <c r="R105" s="2">
        <v>23597</v>
      </c>
      <c r="S105" t="s">
        <v>433</v>
      </c>
      <c r="T105" t="s">
        <v>26</v>
      </c>
    </row>
    <row r="106" spans="1:21">
      <c r="A106" t="s">
        <v>434</v>
      </c>
      <c r="B106" t="s">
        <v>435</v>
      </c>
      <c r="C106" t="s">
        <v>436</v>
      </c>
      <c r="D106">
        <v>1964</v>
      </c>
      <c r="E106" t="s">
        <v>37</v>
      </c>
      <c r="F106">
        <v>26.1</v>
      </c>
      <c r="G106">
        <v>-80.121350000000007</v>
      </c>
      <c r="H106" s="2">
        <v>23616.4375</v>
      </c>
      <c r="I106" t="s">
        <v>324</v>
      </c>
      <c r="L106">
        <v>1.8288</v>
      </c>
      <c r="M106">
        <v>6</v>
      </c>
      <c r="N106">
        <v>3.1500000000086459E-3</v>
      </c>
      <c r="O106">
        <v>26.1007</v>
      </c>
      <c r="P106">
        <v>-80.118899999999996</v>
      </c>
      <c r="Q106" s="2">
        <v>23609</v>
      </c>
      <c r="R106" s="2">
        <v>23625</v>
      </c>
      <c r="S106" t="s">
        <v>437</v>
      </c>
      <c r="T106" s="11" t="s">
        <v>26</v>
      </c>
      <c r="U106" t="s">
        <v>438</v>
      </c>
    </row>
    <row r="107" spans="1:21">
      <c r="A107" t="s">
        <v>439</v>
      </c>
      <c r="B107" t="s">
        <v>440</v>
      </c>
      <c r="C107" t="s">
        <v>441</v>
      </c>
      <c r="D107">
        <v>1964</v>
      </c>
      <c r="E107" t="s">
        <v>37</v>
      </c>
      <c r="F107">
        <v>29.88323333333333</v>
      </c>
      <c r="G107">
        <v>-81.275866666666673</v>
      </c>
      <c r="H107" s="2">
        <v>23630.208333333328</v>
      </c>
      <c r="I107" t="s">
        <v>76</v>
      </c>
      <c r="L107">
        <v>4.1150000000000002</v>
      </c>
      <c r="M107">
        <v>13.5</v>
      </c>
      <c r="N107">
        <v>1.484499999999997</v>
      </c>
      <c r="O107">
        <v>31.1448</v>
      </c>
      <c r="P107">
        <v>-81.498800000000003</v>
      </c>
      <c r="Q107" s="2">
        <v>23617</v>
      </c>
      <c r="R107" s="2">
        <v>23636</v>
      </c>
      <c r="S107" t="s">
        <v>442</v>
      </c>
      <c r="T107" t="s">
        <v>26</v>
      </c>
    </row>
    <row r="108" spans="1:21">
      <c r="A108" t="s">
        <v>443</v>
      </c>
      <c r="B108" t="s">
        <v>444</v>
      </c>
      <c r="C108" t="s">
        <v>445</v>
      </c>
      <c r="D108">
        <v>1964</v>
      </c>
      <c r="E108" t="s">
        <v>31</v>
      </c>
      <c r="F108">
        <v>29.657499999999999</v>
      </c>
      <c r="G108">
        <v>-91.574183333333323</v>
      </c>
      <c r="H108" s="2">
        <v>23654.020833333328</v>
      </c>
      <c r="I108" t="s">
        <v>61</v>
      </c>
      <c r="L108">
        <v>2.9870399999999999</v>
      </c>
      <c r="M108">
        <v>9.8000000000000007</v>
      </c>
      <c r="N108">
        <v>1.324783333333325</v>
      </c>
      <c r="O108">
        <v>29.235700000000001</v>
      </c>
      <c r="P108">
        <v>-90.671199999999999</v>
      </c>
      <c r="Q108" s="2">
        <v>23648</v>
      </c>
      <c r="R108" s="2">
        <v>23655</v>
      </c>
      <c r="S108" t="s">
        <v>446</v>
      </c>
      <c r="T108" t="s">
        <v>26</v>
      </c>
    </row>
    <row r="109" spans="1:21">
      <c r="A109" t="s">
        <v>447</v>
      </c>
      <c r="B109" t="s">
        <v>448</v>
      </c>
      <c r="C109" t="s">
        <v>449</v>
      </c>
      <c r="D109">
        <v>1964</v>
      </c>
      <c r="E109" t="s">
        <v>37</v>
      </c>
      <c r="F109">
        <v>25.727399999999999</v>
      </c>
      <c r="G109">
        <v>-81.352099999999993</v>
      </c>
      <c r="H109" s="2">
        <v>23664.875</v>
      </c>
      <c r="I109" t="s">
        <v>61</v>
      </c>
      <c r="L109">
        <v>1.3715999999999999</v>
      </c>
      <c r="M109">
        <v>4.5</v>
      </c>
      <c r="N109">
        <v>1.6270000000000131</v>
      </c>
      <c r="O109">
        <v>24.555</v>
      </c>
      <c r="P109">
        <v>-81.806700000000006</v>
      </c>
      <c r="Q109" s="2">
        <v>23658</v>
      </c>
      <c r="R109" s="2">
        <v>23666</v>
      </c>
      <c r="S109" t="s">
        <v>450</v>
      </c>
      <c r="T109" t="s">
        <v>26</v>
      </c>
    </row>
    <row r="110" spans="1:21">
      <c r="A110" t="s">
        <v>451</v>
      </c>
      <c r="B110" t="s">
        <v>452</v>
      </c>
      <c r="C110" t="s">
        <v>453</v>
      </c>
      <c r="D110">
        <v>1965</v>
      </c>
      <c r="E110" t="s">
        <v>37</v>
      </c>
      <c r="F110">
        <v>25.14255</v>
      </c>
      <c r="G110">
        <v>-81.067399999999992</v>
      </c>
      <c r="H110" s="2">
        <v>23993.5625</v>
      </c>
      <c r="L110">
        <v>2.7431999999999999</v>
      </c>
      <c r="M110">
        <v>9</v>
      </c>
      <c r="N110">
        <v>0.88764999999999361</v>
      </c>
      <c r="O110">
        <v>25.264600000000002</v>
      </c>
      <c r="P110">
        <v>-80.3018</v>
      </c>
      <c r="Q110" s="2">
        <v>23981</v>
      </c>
      <c r="R110" s="2">
        <v>23995</v>
      </c>
      <c r="S110" t="s">
        <v>454</v>
      </c>
      <c r="T110" t="s">
        <v>26</v>
      </c>
    </row>
    <row r="111" spans="1:21">
      <c r="A111" t="s">
        <v>455</v>
      </c>
      <c r="B111" t="s">
        <v>452</v>
      </c>
      <c r="C111" t="s">
        <v>453</v>
      </c>
      <c r="D111">
        <v>1965</v>
      </c>
      <c r="E111" t="s">
        <v>31</v>
      </c>
      <c r="F111">
        <v>29.267749999999999</v>
      </c>
      <c r="G111">
        <v>-90.324649999999991</v>
      </c>
      <c r="H111" s="2">
        <v>23995.1875</v>
      </c>
      <c r="J111">
        <v>4.7853599999999998</v>
      </c>
      <c r="K111">
        <v>15.7</v>
      </c>
      <c r="N111">
        <v>0.36849999999998673</v>
      </c>
      <c r="O111">
        <v>29.236599999999999</v>
      </c>
      <c r="P111">
        <v>-89.987300000000005</v>
      </c>
      <c r="Q111" s="2">
        <v>23981</v>
      </c>
      <c r="R111" s="2">
        <v>23998</v>
      </c>
      <c r="S111" t="s">
        <v>456</v>
      </c>
      <c r="T111" t="s">
        <v>326</v>
      </c>
    </row>
    <row r="112" spans="1:21">
      <c r="A112" t="s">
        <v>457</v>
      </c>
      <c r="B112" t="s">
        <v>458</v>
      </c>
      <c r="C112" t="s">
        <v>459</v>
      </c>
      <c r="D112">
        <v>1965</v>
      </c>
      <c r="E112" t="s">
        <v>45</v>
      </c>
      <c r="F112">
        <v>30</v>
      </c>
      <c r="G112">
        <v>-88.9</v>
      </c>
      <c r="H112" s="2">
        <v>24015</v>
      </c>
      <c r="L112">
        <v>1.8288</v>
      </c>
      <c r="M112">
        <v>6</v>
      </c>
      <c r="N112">
        <v>1.144899999999996</v>
      </c>
      <c r="O112">
        <v>30.015699999999999</v>
      </c>
      <c r="P112">
        <v>-90.029200000000003</v>
      </c>
      <c r="Q112" s="2">
        <v>24009</v>
      </c>
      <c r="R112" s="2">
        <v>24015</v>
      </c>
      <c r="S112" t="s">
        <v>460</v>
      </c>
      <c r="T112" t="s">
        <v>26</v>
      </c>
    </row>
    <row r="113" spans="1:21">
      <c r="A113" t="s">
        <v>461</v>
      </c>
      <c r="B113" t="s">
        <v>462</v>
      </c>
      <c r="C113" t="s">
        <v>418</v>
      </c>
      <c r="D113">
        <v>1966</v>
      </c>
      <c r="E113" t="s">
        <v>37</v>
      </c>
      <c r="F113">
        <v>29.909800000000001</v>
      </c>
      <c r="G113">
        <v>-84.498199999999997</v>
      </c>
      <c r="H113" s="2">
        <v>24267.833333333328</v>
      </c>
      <c r="I113" t="s">
        <v>76</v>
      </c>
      <c r="L113">
        <v>1.8288</v>
      </c>
      <c r="M113">
        <v>6</v>
      </c>
      <c r="N113">
        <v>0.53979999999999251</v>
      </c>
      <c r="O113">
        <v>30.154399999999999</v>
      </c>
      <c r="P113">
        <v>-84.203000000000003</v>
      </c>
      <c r="Q113" s="2">
        <v>24262</v>
      </c>
      <c r="R113" s="2">
        <v>24272</v>
      </c>
      <c r="S113" t="s">
        <v>463</v>
      </c>
      <c r="T113" s="7" t="s">
        <v>26</v>
      </c>
    </row>
    <row r="114" spans="1:21">
      <c r="A114" t="s">
        <v>464</v>
      </c>
      <c r="B114" t="s">
        <v>465</v>
      </c>
      <c r="C114" t="s">
        <v>466</v>
      </c>
      <c r="D114">
        <v>1966</v>
      </c>
      <c r="E114" t="s">
        <v>37</v>
      </c>
      <c r="F114">
        <v>25.026250000000001</v>
      </c>
      <c r="G114">
        <v>-80.432083333333338</v>
      </c>
      <c r="H114" s="2">
        <v>24384.729166666672</v>
      </c>
      <c r="I114" t="s">
        <v>324</v>
      </c>
      <c r="L114">
        <v>1.524</v>
      </c>
      <c r="M114">
        <v>5</v>
      </c>
      <c r="N114">
        <v>1.275866666666662</v>
      </c>
      <c r="O114">
        <v>24.648299999999999</v>
      </c>
      <c r="P114">
        <v>-81.33</v>
      </c>
      <c r="Q114" s="2">
        <v>24371</v>
      </c>
      <c r="R114" s="2">
        <v>24391</v>
      </c>
      <c r="S114" t="s">
        <v>467</v>
      </c>
      <c r="T114" t="s">
        <v>26</v>
      </c>
      <c r="U114" t="s">
        <v>468</v>
      </c>
    </row>
    <row r="115" spans="1:21">
      <c r="A115" t="s">
        <v>469</v>
      </c>
      <c r="B115" t="s">
        <v>470</v>
      </c>
      <c r="C115" t="s">
        <v>471</v>
      </c>
      <c r="D115">
        <v>1967</v>
      </c>
      <c r="E115" t="s">
        <v>24</v>
      </c>
      <c r="F115">
        <v>25.529900000000001</v>
      </c>
      <c r="G115">
        <v>-97.007800000000003</v>
      </c>
      <c r="H115" s="2">
        <v>24735.375</v>
      </c>
      <c r="I115" s="19"/>
      <c r="J115">
        <v>5.4864000000000006</v>
      </c>
      <c r="K115">
        <v>18</v>
      </c>
      <c r="N115">
        <v>1.083999999999993</v>
      </c>
      <c r="O115">
        <v>26.4</v>
      </c>
      <c r="P115">
        <v>-97.221699999999998</v>
      </c>
      <c r="Q115" s="2">
        <v>24720</v>
      </c>
      <c r="R115" s="2">
        <v>24737</v>
      </c>
      <c r="S115" t="s">
        <v>472</v>
      </c>
      <c r="T115" t="s">
        <v>326</v>
      </c>
      <c r="U115" t="s">
        <v>473</v>
      </c>
    </row>
    <row r="116" spans="1:21">
      <c r="A116" t="s">
        <v>474</v>
      </c>
      <c r="B116" t="s">
        <v>475</v>
      </c>
      <c r="C116" t="s">
        <v>432</v>
      </c>
      <c r="D116">
        <v>1968</v>
      </c>
      <c r="E116" t="s">
        <v>37</v>
      </c>
      <c r="F116">
        <v>26.808383333333332</v>
      </c>
      <c r="G116">
        <v>-82.166816666666662</v>
      </c>
      <c r="H116" s="2">
        <v>24993.479166666672</v>
      </c>
      <c r="L116">
        <v>1.7070000000000001</v>
      </c>
      <c r="M116">
        <v>5.6</v>
      </c>
      <c r="N116">
        <v>1.741799999999994</v>
      </c>
      <c r="O116">
        <v>25.845600000000001</v>
      </c>
      <c r="P116">
        <v>-81.387799999999999</v>
      </c>
      <c r="Q116" s="2">
        <v>24990</v>
      </c>
      <c r="R116" s="2">
        <v>25002</v>
      </c>
      <c r="S116" t="s">
        <v>476</v>
      </c>
      <c r="T116" t="s">
        <v>26</v>
      </c>
    </row>
    <row r="117" spans="1:21">
      <c r="A117" t="s">
        <v>477</v>
      </c>
      <c r="B117" t="s">
        <v>478</v>
      </c>
      <c r="C117" t="s">
        <v>479</v>
      </c>
      <c r="D117">
        <v>1968</v>
      </c>
      <c r="E117" t="s">
        <v>24</v>
      </c>
      <c r="F117">
        <v>27.978333333333339</v>
      </c>
      <c r="G117">
        <v>-97.097533333333331</v>
      </c>
      <c r="H117" s="2">
        <v>25012.958333333328</v>
      </c>
      <c r="I117" t="s">
        <v>324</v>
      </c>
      <c r="J117">
        <v>1.3715999999999999</v>
      </c>
      <c r="K117">
        <v>4.5</v>
      </c>
      <c r="N117">
        <v>1.6023999999999889</v>
      </c>
      <c r="O117">
        <v>28.6983</v>
      </c>
      <c r="P117">
        <v>-96.215100000000007</v>
      </c>
      <c r="Q117" s="2">
        <v>25011</v>
      </c>
      <c r="R117" s="2">
        <v>25015</v>
      </c>
      <c r="S117" t="s">
        <v>480</v>
      </c>
      <c r="T117" t="s">
        <v>326</v>
      </c>
    </row>
    <row r="118" spans="1:21">
      <c r="A118" t="s">
        <v>481</v>
      </c>
      <c r="B118" t="s">
        <v>482</v>
      </c>
      <c r="C118" t="s">
        <v>483</v>
      </c>
      <c r="D118">
        <v>1968</v>
      </c>
      <c r="E118" t="s">
        <v>37</v>
      </c>
      <c r="F118">
        <v>28.78476666666667</v>
      </c>
      <c r="G118">
        <v>-82.622033333333334</v>
      </c>
      <c r="H118" s="2">
        <v>25130.208333333328</v>
      </c>
      <c r="L118">
        <v>1.9812000000000001</v>
      </c>
      <c r="M118">
        <v>6.5</v>
      </c>
      <c r="N118">
        <v>0.76679999999999993</v>
      </c>
      <c r="O118">
        <v>29.136299999999999</v>
      </c>
      <c r="P118">
        <v>-83.037300000000002</v>
      </c>
      <c r="Q118" s="2">
        <v>25124</v>
      </c>
      <c r="R118" s="2">
        <v>25132</v>
      </c>
      <c r="S118" t="s">
        <v>484</v>
      </c>
      <c r="T118" t="s">
        <v>26</v>
      </c>
    </row>
    <row r="119" spans="1:21">
      <c r="A119" t="s">
        <v>485</v>
      </c>
      <c r="B119" t="s">
        <v>486</v>
      </c>
      <c r="C119" t="s">
        <v>487</v>
      </c>
      <c r="D119">
        <v>1969</v>
      </c>
      <c r="E119" t="s">
        <v>31</v>
      </c>
      <c r="F119">
        <v>30.3</v>
      </c>
      <c r="G119">
        <v>-89.4</v>
      </c>
      <c r="H119" s="2">
        <v>25433.166666666672</v>
      </c>
      <c r="L119">
        <v>7.4980800000000007</v>
      </c>
      <c r="M119">
        <v>24.6</v>
      </c>
      <c r="N119">
        <v>0.16830000000000209</v>
      </c>
      <c r="O119">
        <v>30.315799999999999</v>
      </c>
      <c r="P119">
        <v>-89.247500000000002</v>
      </c>
      <c r="Q119" s="2">
        <v>25429</v>
      </c>
      <c r="R119" s="2">
        <v>25437</v>
      </c>
      <c r="S119" t="s">
        <v>488</v>
      </c>
      <c r="T119" t="s">
        <v>26</v>
      </c>
    </row>
    <row r="120" spans="1:21">
      <c r="A120" t="s">
        <v>489</v>
      </c>
      <c r="B120" t="s">
        <v>490</v>
      </c>
      <c r="C120" t="s">
        <v>491</v>
      </c>
      <c r="D120">
        <v>1970</v>
      </c>
      <c r="E120" t="s">
        <v>24</v>
      </c>
      <c r="F120">
        <v>27.84975</v>
      </c>
      <c r="G120">
        <v>-97.168833333333325</v>
      </c>
      <c r="H120" s="2">
        <v>25783.895833333328</v>
      </c>
      <c r="I120" t="s">
        <v>61</v>
      </c>
      <c r="L120">
        <v>3.47472</v>
      </c>
      <c r="M120">
        <v>11.4</v>
      </c>
      <c r="N120">
        <v>8.3516666666668016E-2</v>
      </c>
      <c r="O120">
        <v>27.860399999999998</v>
      </c>
      <c r="P120">
        <v>-97.241699999999994</v>
      </c>
      <c r="Q120" s="2">
        <v>25780</v>
      </c>
      <c r="R120" s="2">
        <v>25785</v>
      </c>
      <c r="S120" t="s">
        <v>492</v>
      </c>
      <c r="T120" t="s">
        <v>26</v>
      </c>
    </row>
    <row r="121" spans="1:21">
      <c r="A121" t="s">
        <v>493</v>
      </c>
      <c r="B121" t="s">
        <v>494</v>
      </c>
      <c r="C121" t="s">
        <v>495</v>
      </c>
      <c r="D121">
        <v>1971</v>
      </c>
      <c r="E121" t="s">
        <v>81</v>
      </c>
      <c r="F121">
        <v>34.941566666666667</v>
      </c>
      <c r="G121">
        <v>-76.784449999999993</v>
      </c>
      <c r="H121" s="2">
        <v>26172.770833333328</v>
      </c>
      <c r="I121" t="s">
        <v>324</v>
      </c>
      <c r="L121">
        <v>0.60960000000000003</v>
      </c>
      <c r="M121">
        <v>2</v>
      </c>
      <c r="N121">
        <v>1.837116666666667</v>
      </c>
      <c r="O121">
        <v>34.17</v>
      </c>
      <c r="P121">
        <v>-77.849999999999994</v>
      </c>
      <c r="T121" t="s">
        <v>26</v>
      </c>
      <c r="U121" t="s">
        <v>496</v>
      </c>
    </row>
    <row r="122" spans="1:21">
      <c r="A122" t="s">
        <v>497</v>
      </c>
      <c r="B122" t="s">
        <v>498</v>
      </c>
      <c r="C122" t="s">
        <v>499</v>
      </c>
      <c r="D122">
        <v>1971</v>
      </c>
      <c r="E122" t="s">
        <v>24</v>
      </c>
      <c r="F122">
        <v>28.340800000000002</v>
      </c>
      <c r="G122">
        <v>-96.424166666666665</v>
      </c>
      <c r="H122" s="2">
        <v>26186.708333333328</v>
      </c>
      <c r="I122" t="s">
        <v>61</v>
      </c>
      <c r="L122">
        <v>1.8288</v>
      </c>
      <c r="M122">
        <v>6</v>
      </c>
      <c r="N122">
        <v>1.717866666666666</v>
      </c>
      <c r="O122">
        <v>28.943899999999999</v>
      </c>
      <c r="P122">
        <v>-95.309399999999997</v>
      </c>
      <c r="Q122" s="2">
        <v>26179</v>
      </c>
      <c r="R122" s="2">
        <v>26189</v>
      </c>
      <c r="S122" t="s">
        <v>500</v>
      </c>
      <c r="T122" t="s">
        <v>26</v>
      </c>
    </row>
    <row r="123" spans="1:21">
      <c r="A123" t="s">
        <v>501</v>
      </c>
      <c r="B123" t="s">
        <v>502</v>
      </c>
      <c r="C123" t="s">
        <v>503</v>
      </c>
      <c r="D123">
        <v>1971</v>
      </c>
      <c r="E123" t="s">
        <v>31</v>
      </c>
      <c r="F123">
        <v>29.661433333333331</v>
      </c>
      <c r="G123">
        <v>-92.854433333333333</v>
      </c>
      <c r="H123" s="2">
        <v>26192.541666666672</v>
      </c>
      <c r="L123">
        <v>2.9565600000000001</v>
      </c>
      <c r="M123">
        <v>9.6999999999999993</v>
      </c>
      <c r="N123">
        <v>1.0318999999999969</v>
      </c>
      <c r="O123">
        <v>29.716100000000001</v>
      </c>
      <c r="P123">
        <v>-91.877200000000002</v>
      </c>
      <c r="Q123" s="2">
        <v>26181</v>
      </c>
      <c r="R123" s="2">
        <v>26194</v>
      </c>
      <c r="S123" t="s">
        <v>504</v>
      </c>
      <c r="T123" t="s">
        <v>26</v>
      </c>
    </row>
    <row r="124" spans="1:21">
      <c r="A124" t="s">
        <v>505</v>
      </c>
      <c r="B124" t="s">
        <v>506</v>
      </c>
      <c r="C124" t="s">
        <v>507</v>
      </c>
      <c r="D124">
        <v>1971</v>
      </c>
      <c r="E124" t="s">
        <v>81</v>
      </c>
      <c r="F124">
        <v>34.676633333333328</v>
      </c>
      <c r="G124">
        <v>-76.91673333333334</v>
      </c>
      <c r="H124" s="2">
        <v>26206.958333333328</v>
      </c>
      <c r="I124" t="s">
        <v>324</v>
      </c>
      <c r="L124">
        <v>2.13</v>
      </c>
      <c r="M124">
        <v>7</v>
      </c>
      <c r="N124" s="7">
        <f>ABS(F124-O124)+ABS(G124-P124)</f>
        <v>1.6484290929822123</v>
      </c>
      <c r="O124">
        <v>35.314142560595002</v>
      </c>
      <c r="P124">
        <v>-75.905813467612802</v>
      </c>
      <c r="T124" t="s">
        <v>26</v>
      </c>
      <c r="U124" t="s">
        <v>508</v>
      </c>
    </row>
    <row r="125" spans="1:21">
      <c r="A125" t="s">
        <v>509</v>
      </c>
      <c r="B125" t="s">
        <v>510</v>
      </c>
      <c r="C125" t="s">
        <v>511</v>
      </c>
      <c r="D125">
        <v>1972</v>
      </c>
      <c r="E125" t="s">
        <v>37</v>
      </c>
      <c r="F125">
        <v>30.065000000000001</v>
      </c>
      <c r="G125">
        <v>-85.43</v>
      </c>
      <c r="H125" s="2">
        <v>26469.875</v>
      </c>
      <c r="L125">
        <v>2.1335999999999999</v>
      </c>
      <c r="M125">
        <v>7</v>
      </c>
      <c r="N125">
        <v>0.37140000000001189</v>
      </c>
      <c r="O125">
        <v>29.8142</v>
      </c>
      <c r="P125">
        <v>-85.309399999999997</v>
      </c>
      <c r="Q125" s="2">
        <v>26464</v>
      </c>
      <c r="R125" s="2">
        <v>26473</v>
      </c>
      <c r="S125" t="s">
        <v>512</v>
      </c>
      <c r="T125" t="s">
        <v>26</v>
      </c>
      <c r="U125" t="s">
        <v>513</v>
      </c>
    </row>
    <row r="126" spans="1:21">
      <c r="A126" t="s">
        <v>514</v>
      </c>
      <c r="B126" t="s">
        <v>510</v>
      </c>
      <c r="C126" t="s">
        <v>511</v>
      </c>
      <c r="D126">
        <v>1972</v>
      </c>
      <c r="E126" t="s">
        <v>198</v>
      </c>
      <c r="F126">
        <v>40.609200000000001</v>
      </c>
      <c r="G126">
        <v>-73.653050000000007</v>
      </c>
      <c r="H126" s="2">
        <v>26472.8125</v>
      </c>
      <c r="I126" t="s">
        <v>324</v>
      </c>
      <c r="L126">
        <v>0.94488000000000005</v>
      </c>
      <c r="M126">
        <v>3.1</v>
      </c>
      <c r="N126">
        <v>0.45104999999999512</v>
      </c>
      <c r="O126">
        <v>40.700000000000003</v>
      </c>
      <c r="P126">
        <v>-74.013300000000001</v>
      </c>
      <c r="Q126" s="2">
        <v>26454</v>
      </c>
      <c r="R126" s="2">
        <v>26472</v>
      </c>
      <c r="S126" t="s">
        <v>515</v>
      </c>
      <c r="T126" t="s">
        <v>26</v>
      </c>
      <c r="U126" t="s">
        <v>516</v>
      </c>
    </row>
    <row r="127" spans="1:21">
      <c r="A127" t="s">
        <v>517</v>
      </c>
      <c r="B127" t="s">
        <v>518</v>
      </c>
      <c r="C127" t="s">
        <v>519</v>
      </c>
      <c r="D127">
        <v>1972</v>
      </c>
      <c r="E127" t="s">
        <v>336</v>
      </c>
      <c r="F127">
        <v>44.638300000000001</v>
      </c>
      <c r="G127">
        <v>-67.583616666666671</v>
      </c>
      <c r="H127" s="2">
        <v>26546.479166666672</v>
      </c>
      <c r="I127" t="s">
        <v>61</v>
      </c>
      <c r="J127">
        <v>0.31</v>
      </c>
      <c r="K127">
        <v>1.02</v>
      </c>
      <c r="L127">
        <v>2.04</v>
      </c>
      <c r="M127">
        <v>6.7</v>
      </c>
      <c r="N127" s="7">
        <f>ABS(F127-O127)+ABS(G127-P127)</f>
        <v>0.86801633333332973</v>
      </c>
      <c r="O127">
        <v>44.391666999999998</v>
      </c>
      <c r="P127">
        <v>-68.204999999999998</v>
      </c>
      <c r="T127" t="s">
        <v>230</v>
      </c>
      <c r="U127" t="s">
        <v>520</v>
      </c>
    </row>
    <row r="128" spans="1:21">
      <c r="A128" t="s">
        <v>521</v>
      </c>
      <c r="B128" t="s">
        <v>522</v>
      </c>
      <c r="C128" t="s">
        <v>523</v>
      </c>
      <c r="D128">
        <v>1973</v>
      </c>
      <c r="E128" t="s">
        <v>24</v>
      </c>
      <c r="F128">
        <v>29.036799999999999</v>
      </c>
      <c r="G128">
        <v>-95.235266666666675</v>
      </c>
      <c r="H128" s="2">
        <v>26912.083333333328</v>
      </c>
      <c r="I128" t="s">
        <v>61</v>
      </c>
      <c r="L128">
        <v>1.9812000000000001</v>
      </c>
      <c r="M128">
        <v>6.5</v>
      </c>
      <c r="N128">
        <v>0.95386666666667708</v>
      </c>
      <c r="O128">
        <v>29.733499999999999</v>
      </c>
      <c r="P128">
        <v>-94.978099999999998</v>
      </c>
      <c r="Q128" s="2">
        <v>26908</v>
      </c>
      <c r="R128" s="2">
        <v>26914</v>
      </c>
      <c r="S128" t="s">
        <v>283</v>
      </c>
      <c r="T128" t="s">
        <v>26</v>
      </c>
    </row>
    <row r="129" spans="1:21">
      <c r="A129" t="s">
        <v>524</v>
      </c>
      <c r="B129" t="s">
        <v>525</v>
      </c>
      <c r="C129" t="s">
        <v>526</v>
      </c>
      <c r="D129">
        <v>1974</v>
      </c>
      <c r="E129" t="s">
        <v>37</v>
      </c>
      <c r="F129">
        <v>27.818899999999999</v>
      </c>
      <c r="G129">
        <v>-82.763149999999996</v>
      </c>
      <c r="H129" s="2">
        <v>27205.3125</v>
      </c>
      <c r="I129" t="s">
        <v>61</v>
      </c>
      <c r="J129">
        <v>0.76</v>
      </c>
      <c r="K129">
        <v>2.4790000000000001</v>
      </c>
      <c r="L129">
        <v>0.91</v>
      </c>
      <c r="M129">
        <v>2.99</v>
      </c>
      <c r="N129" s="7">
        <f>ABS(F129-O129)+ABS(G129-P129)</f>
        <v>0.19538299999999609</v>
      </c>
      <c r="O129">
        <v>27.76</v>
      </c>
      <c r="P129" s="20">
        <v>-82.626666999999998</v>
      </c>
      <c r="T129" t="s">
        <v>230</v>
      </c>
      <c r="U129" t="s">
        <v>527</v>
      </c>
    </row>
    <row r="130" spans="1:21">
      <c r="A130" t="s">
        <v>528</v>
      </c>
      <c r="B130" t="s">
        <v>529</v>
      </c>
      <c r="C130" t="s">
        <v>530</v>
      </c>
      <c r="D130">
        <v>1974</v>
      </c>
      <c r="E130" t="s">
        <v>31</v>
      </c>
      <c r="F130">
        <v>29.236149999999999</v>
      </c>
      <c r="G130">
        <v>-91.160150000000002</v>
      </c>
      <c r="H130" s="2">
        <v>27280.1875</v>
      </c>
      <c r="I130" t="s">
        <v>61</v>
      </c>
      <c r="L130">
        <v>3.5478719999999999</v>
      </c>
      <c r="M130">
        <v>11.64</v>
      </c>
      <c r="N130">
        <v>0.50599999999999667</v>
      </c>
      <c r="O130">
        <v>29.2453</v>
      </c>
      <c r="P130">
        <v>-90.663300000000007</v>
      </c>
      <c r="Q130" s="2">
        <v>27270</v>
      </c>
      <c r="R130" s="2">
        <v>27282</v>
      </c>
      <c r="S130" t="s">
        <v>175</v>
      </c>
      <c r="T130" t="s">
        <v>26</v>
      </c>
    </row>
    <row r="131" spans="1:21">
      <c r="A131" t="s">
        <v>531</v>
      </c>
      <c r="B131" t="s">
        <v>532</v>
      </c>
      <c r="C131" t="s">
        <v>533</v>
      </c>
      <c r="D131">
        <v>1975</v>
      </c>
      <c r="E131" t="s">
        <v>37</v>
      </c>
      <c r="F131">
        <v>30.42445</v>
      </c>
      <c r="G131">
        <v>-86.254400000000004</v>
      </c>
      <c r="H131" s="2">
        <v>27660.520833333328</v>
      </c>
      <c r="I131" t="s">
        <v>61</v>
      </c>
      <c r="L131">
        <v>5.5473600000000003</v>
      </c>
      <c r="M131">
        <v>18.2</v>
      </c>
      <c r="N131">
        <v>8.6350000000006588E-2</v>
      </c>
      <c r="O131">
        <v>30.349399999999999</v>
      </c>
      <c r="P131">
        <v>-86.243099999999998</v>
      </c>
      <c r="Q131" s="2">
        <v>27650</v>
      </c>
      <c r="R131" s="2">
        <v>27661</v>
      </c>
      <c r="S131" t="s">
        <v>534</v>
      </c>
      <c r="T131" t="s">
        <v>26</v>
      </c>
    </row>
    <row r="132" spans="1:21">
      <c r="A132" t="s">
        <v>535</v>
      </c>
      <c r="B132" t="s">
        <v>536</v>
      </c>
      <c r="C132" t="s">
        <v>537</v>
      </c>
      <c r="D132">
        <v>1976</v>
      </c>
      <c r="E132" t="s">
        <v>198</v>
      </c>
      <c r="F132">
        <v>40.648266666666657</v>
      </c>
      <c r="G132">
        <v>-73.309933333333333</v>
      </c>
      <c r="H132" s="2">
        <v>27982.208333333328</v>
      </c>
      <c r="I132" t="s">
        <v>76</v>
      </c>
      <c r="J132">
        <v>1.3715999999999999</v>
      </c>
      <c r="K132">
        <v>4.5</v>
      </c>
      <c r="L132">
        <v>2.19</v>
      </c>
      <c r="M132">
        <v>7.2</v>
      </c>
      <c r="N132">
        <v>0.75510000000000588</v>
      </c>
      <c r="O132">
        <v>40.700000000000003</v>
      </c>
      <c r="P132">
        <v>-74.013300000000001</v>
      </c>
      <c r="Q132" s="2">
        <v>27981</v>
      </c>
      <c r="R132" s="2">
        <v>27981</v>
      </c>
      <c r="S132" t="s">
        <v>538</v>
      </c>
      <c r="T132" t="s">
        <v>26</v>
      </c>
      <c r="U132" t="s">
        <v>539</v>
      </c>
    </row>
    <row r="133" spans="1:21">
      <c r="A133" t="s">
        <v>540</v>
      </c>
      <c r="B133" t="s">
        <v>541</v>
      </c>
      <c r="C133" t="s">
        <v>542</v>
      </c>
      <c r="D133">
        <v>1977</v>
      </c>
      <c r="E133" t="s">
        <v>31</v>
      </c>
      <c r="F133">
        <v>29.25333333333333</v>
      </c>
      <c r="G133">
        <v>-91.236933333333326</v>
      </c>
      <c r="H133" s="2">
        <v>28373.416666666672</v>
      </c>
      <c r="I133" t="s">
        <v>61</v>
      </c>
      <c r="L133">
        <v>2.6395680000000001</v>
      </c>
      <c r="M133">
        <v>8.66</v>
      </c>
      <c r="N133">
        <v>0.67386666666665818</v>
      </c>
      <c r="O133">
        <v>29.162700000000001</v>
      </c>
      <c r="P133">
        <v>-90.653700000000001</v>
      </c>
      <c r="Q133" s="2">
        <v>28371</v>
      </c>
      <c r="R133" s="2">
        <v>28377</v>
      </c>
      <c r="S133" t="s">
        <v>543</v>
      </c>
      <c r="T133" t="s">
        <v>26</v>
      </c>
    </row>
    <row r="134" spans="1:21">
      <c r="A134" t="s">
        <v>544</v>
      </c>
      <c r="B134" t="s">
        <v>545</v>
      </c>
      <c r="C134" t="s">
        <v>546</v>
      </c>
      <c r="D134">
        <v>1978</v>
      </c>
      <c r="E134" t="s">
        <v>24</v>
      </c>
      <c r="F134">
        <v>26.040099999999999</v>
      </c>
      <c r="G134">
        <v>-97.199799999999996</v>
      </c>
      <c r="H134" s="2">
        <v>28701.875</v>
      </c>
      <c r="I134" t="s">
        <v>61</v>
      </c>
      <c r="L134">
        <v>0.05</v>
      </c>
      <c r="M134">
        <v>0.18</v>
      </c>
      <c r="N134" s="7">
        <f>ABS(F134-O134)+ABS(G134-P134)</f>
        <v>3.6800000000006605E-2</v>
      </c>
      <c r="O134">
        <v>26.061699999999998</v>
      </c>
      <c r="P134">
        <v>-97.215000000000003</v>
      </c>
      <c r="T134" t="s">
        <v>230</v>
      </c>
      <c r="U134" t="s">
        <v>547</v>
      </c>
    </row>
    <row r="135" spans="1:21">
      <c r="A135" t="s">
        <v>548</v>
      </c>
      <c r="B135" t="s">
        <v>549</v>
      </c>
      <c r="C135" t="s">
        <v>550</v>
      </c>
      <c r="D135">
        <v>1979</v>
      </c>
      <c r="E135" t="s">
        <v>31</v>
      </c>
      <c r="F135">
        <v>29.2558333333333</v>
      </c>
      <c r="G135">
        <v>-90.564183333333332</v>
      </c>
      <c r="H135" s="2">
        <v>29047.520833333328</v>
      </c>
      <c r="I135" t="s">
        <v>61</v>
      </c>
      <c r="L135">
        <v>1.5544800000000001</v>
      </c>
      <c r="M135">
        <v>5.0999999999999996</v>
      </c>
      <c r="N135">
        <v>1.592449999999989</v>
      </c>
      <c r="O135">
        <v>30.352799999999998</v>
      </c>
      <c r="P135">
        <v>-90.068700000000007</v>
      </c>
      <c r="Q135" s="2">
        <v>29045</v>
      </c>
      <c r="R135" s="2">
        <v>29052</v>
      </c>
      <c r="S135" t="s">
        <v>551</v>
      </c>
      <c r="T135" t="s">
        <v>26</v>
      </c>
    </row>
    <row r="136" spans="1:21">
      <c r="A136" t="s">
        <v>552</v>
      </c>
      <c r="B136" t="s">
        <v>553</v>
      </c>
      <c r="C136" t="s">
        <v>554</v>
      </c>
      <c r="D136">
        <v>1979</v>
      </c>
      <c r="E136" t="s">
        <v>24</v>
      </c>
      <c r="F136">
        <v>29.73663333333333</v>
      </c>
      <c r="G136">
        <v>-93.895099999999999</v>
      </c>
      <c r="H136" s="2">
        <v>29060.791666666672</v>
      </c>
      <c r="I136" t="s">
        <v>61</v>
      </c>
      <c r="L136">
        <v>1.37</v>
      </c>
      <c r="M136">
        <v>4.5</v>
      </c>
      <c r="N136">
        <v>3.2333333333330223E-2</v>
      </c>
      <c r="O136">
        <v>29.7286</v>
      </c>
      <c r="P136">
        <v>-93.870800000000003</v>
      </c>
      <c r="Q136" s="2">
        <v>29051</v>
      </c>
      <c r="R136" s="2">
        <v>29065</v>
      </c>
      <c r="S136" t="s">
        <v>555</v>
      </c>
      <c r="T136" t="s">
        <v>26</v>
      </c>
    </row>
    <row r="137" spans="1:21">
      <c r="A137" t="s">
        <v>556</v>
      </c>
      <c r="B137" t="s">
        <v>557</v>
      </c>
      <c r="C137" t="s">
        <v>558</v>
      </c>
      <c r="D137">
        <v>1979</v>
      </c>
      <c r="E137" t="s">
        <v>24</v>
      </c>
      <c r="F137">
        <v>28.666666666666671</v>
      </c>
      <c r="G137">
        <v>-95.815133333333335</v>
      </c>
      <c r="H137" s="2">
        <v>29099.583333333328</v>
      </c>
      <c r="I137" t="s">
        <v>61</v>
      </c>
      <c r="L137">
        <v>0.99060000000000004</v>
      </c>
      <c r="M137">
        <v>3.25</v>
      </c>
      <c r="N137">
        <v>1.903866666666669</v>
      </c>
      <c r="O137">
        <v>29.733499999999999</v>
      </c>
      <c r="P137">
        <v>-94.978099999999998</v>
      </c>
      <c r="Q137" s="2">
        <v>29097</v>
      </c>
      <c r="R137" s="2">
        <v>29100</v>
      </c>
      <c r="S137" t="s">
        <v>559</v>
      </c>
      <c r="T137" t="s">
        <v>26</v>
      </c>
    </row>
    <row r="138" spans="1:21">
      <c r="A138" t="s">
        <v>560</v>
      </c>
      <c r="B138" t="s">
        <v>561</v>
      </c>
      <c r="C138" t="s">
        <v>562</v>
      </c>
      <c r="D138">
        <v>1979</v>
      </c>
      <c r="E138" t="s">
        <v>37</v>
      </c>
      <c r="F138">
        <v>27.055033333333331</v>
      </c>
      <c r="G138">
        <v>-80.10496666666667</v>
      </c>
      <c r="H138" s="2">
        <v>29101.708333333328</v>
      </c>
      <c r="I138" t="s">
        <v>324</v>
      </c>
      <c r="L138">
        <v>1.2192000000000001</v>
      </c>
      <c r="M138">
        <v>4</v>
      </c>
      <c r="N138" s="7">
        <f>ABS(F138-O138)+ABS(G138-P138)</f>
        <v>0.62117924882769415</v>
      </c>
      <c r="O138">
        <v>27.444817681170601</v>
      </c>
      <c r="P138">
        <v>-80.336361567657093</v>
      </c>
      <c r="Q138" s="2">
        <v>29092</v>
      </c>
      <c r="R138" s="2">
        <v>29106</v>
      </c>
      <c r="S138" t="s">
        <v>563</v>
      </c>
      <c r="T138" t="s">
        <v>26</v>
      </c>
      <c r="U138" t="s">
        <v>564</v>
      </c>
    </row>
    <row r="139" spans="1:21">
      <c r="A139" t="s">
        <v>565</v>
      </c>
      <c r="B139" t="s">
        <v>561</v>
      </c>
      <c r="C139" t="s">
        <v>562</v>
      </c>
      <c r="D139">
        <v>1979</v>
      </c>
      <c r="E139" t="s">
        <v>278</v>
      </c>
      <c r="F139">
        <v>31.587083333333329</v>
      </c>
      <c r="G139">
        <v>-81.19798333333334</v>
      </c>
      <c r="H139" s="2">
        <v>29102.770833333328</v>
      </c>
      <c r="I139" t="s">
        <v>76</v>
      </c>
      <c r="L139">
        <v>3.6576</v>
      </c>
      <c r="M139">
        <v>12</v>
      </c>
      <c r="N139">
        <v>1.607066666666668</v>
      </c>
      <c r="O139">
        <v>30.098199999999999</v>
      </c>
      <c r="P139">
        <v>-81.079800000000006</v>
      </c>
      <c r="Q139" s="2">
        <v>29092</v>
      </c>
      <c r="R139" s="2">
        <v>29105</v>
      </c>
      <c r="S139" t="s">
        <v>566</v>
      </c>
      <c r="T139" t="s">
        <v>26</v>
      </c>
    </row>
    <row r="140" spans="1:21">
      <c r="A140" t="s">
        <v>567</v>
      </c>
      <c r="B140" t="s">
        <v>568</v>
      </c>
      <c r="C140" t="s">
        <v>569</v>
      </c>
      <c r="D140">
        <v>1979</v>
      </c>
      <c r="E140" t="s">
        <v>93</v>
      </c>
      <c r="F140">
        <v>30.4284</v>
      </c>
      <c r="G140">
        <v>-88.338200000000001</v>
      </c>
      <c r="H140" s="2">
        <v>29111.166666666672</v>
      </c>
      <c r="I140" t="s">
        <v>180</v>
      </c>
      <c r="L140">
        <v>4.7</v>
      </c>
      <c r="M140">
        <v>15.3</v>
      </c>
      <c r="N140">
        <v>0.90320000000000178</v>
      </c>
      <c r="O140">
        <v>30.2654</v>
      </c>
      <c r="P140">
        <v>-87.597999999999999</v>
      </c>
      <c r="Q140" s="2">
        <v>29096</v>
      </c>
      <c r="R140" s="2">
        <v>29113</v>
      </c>
      <c r="S140" t="s">
        <v>570</v>
      </c>
      <c r="T140" t="s">
        <v>26</v>
      </c>
    </row>
    <row r="141" spans="1:21">
      <c r="A141" t="s">
        <v>571</v>
      </c>
      <c r="B141" t="s">
        <v>572</v>
      </c>
      <c r="C141" t="s">
        <v>573</v>
      </c>
      <c r="D141">
        <v>1980</v>
      </c>
      <c r="E141" t="s">
        <v>24</v>
      </c>
      <c r="F141">
        <v>26.19253333333333</v>
      </c>
      <c r="G141">
        <v>-97.337433333333337</v>
      </c>
      <c r="H141" s="2">
        <v>29443.291666666672</v>
      </c>
      <c r="I141" t="s">
        <v>61</v>
      </c>
      <c r="L141">
        <v>3.6576</v>
      </c>
      <c r="M141">
        <v>12</v>
      </c>
      <c r="N141">
        <v>0.44863333333332628</v>
      </c>
      <c r="O141">
        <v>26.555299999999999</v>
      </c>
      <c r="P141">
        <v>-97.423299999999998</v>
      </c>
      <c r="Q141" s="2">
        <v>29433</v>
      </c>
      <c r="R141" s="2">
        <v>29444</v>
      </c>
      <c r="S141" t="s">
        <v>574</v>
      </c>
      <c r="T141" t="s">
        <v>26</v>
      </c>
    </row>
    <row r="142" spans="1:21">
      <c r="A142" t="s">
        <v>575</v>
      </c>
      <c r="B142" t="s">
        <v>576</v>
      </c>
      <c r="C142" t="s">
        <v>577</v>
      </c>
      <c r="D142">
        <v>1981</v>
      </c>
      <c r="E142" t="s">
        <v>37</v>
      </c>
      <c r="F142">
        <v>25.297499999999999</v>
      </c>
      <c r="G142">
        <v>-81.197500000000005</v>
      </c>
      <c r="H142" s="2">
        <v>29815.291666666672</v>
      </c>
      <c r="I142" t="s">
        <v>61</v>
      </c>
      <c r="J142">
        <v>0.11</v>
      </c>
      <c r="K142">
        <v>0.34899999999999998</v>
      </c>
      <c r="L142">
        <v>0.49</v>
      </c>
      <c r="M142">
        <v>1.61</v>
      </c>
      <c r="N142" s="7">
        <f>ABS(F142-O142)+ABS(G142-P142)</f>
        <v>1.3532999999999973</v>
      </c>
      <c r="O142">
        <v>24.555</v>
      </c>
      <c r="P142">
        <v>-81.808300000000003</v>
      </c>
      <c r="T142" t="s">
        <v>230</v>
      </c>
      <c r="U142" t="s">
        <v>578</v>
      </c>
    </row>
    <row r="143" spans="1:21">
      <c r="A143" t="s">
        <v>579</v>
      </c>
      <c r="B143" t="s">
        <v>580</v>
      </c>
      <c r="C143" t="s">
        <v>581</v>
      </c>
      <c r="D143">
        <v>1982</v>
      </c>
      <c r="E143" t="s">
        <v>37</v>
      </c>
      <c r="F143">
        <v>28.931683333333329</v>
      </c>
      <c r="G143">
        <v>-82.584350000000001</v>
      </c>
      <c r="H143" s="2">
        <v>30120.520833333328</v>
      </c>
      <c r="I143" t="s">
        <v>61</v>
      </c>
      <c r="J143">
        <v>1.0900000000000001</v>
      </c>
      <c r="K143">
        <v>3.581</v>
      </c>
      <c r="L143">
        <v>1.37</v>
      </c>
      <c r="M143">
        <v>4.49</v>
      </c>
      <c r="N143" s="7">
        <f>ABS(F143-O143)+ABS(G143-P143)</f>
        <v>1.2052859521336217</v>
      </c>
      <c r="O143">
        <v>27.7693270743755</v>
      </c>
      <c r="P143" s="20">
        <v>-82.627279693175794</v>
      </c>
      <c r="T143" t="s">
        <v>230</v>
      </c>
      <c r="U143" t="s">
        <v>582</v>
      </c>
    </row>
    <row r="144" spans="1:21">
      <c r="A144" t="s">
        <v>583</v>
      </c>
      <c r="B144" t="s">
        <v>584</v>
      </c>
      <c r="C144" t="s">
        <v>585</v>
      </c>
      <c r="D144">
        <v>1982</v>
      </c>
      <c r="E144" t="s">
        <v>31</v>
      </c>
      <c r="F144">
        <v>29.728333333333339</v>
      </c>
      <c r="G144">
        <v>-93.820383333333325</v>
      </c>
      <c r="H144" s="2">
        <v>30205.479166666672</v>
      </c>
      <c r="I144" t="s">
        <v>180</v>
      </c>
      <c r="L144">
        <v>2.0099999999999998</v>
      </c>
      <c r="M144" s="24">
        <v>6.6</v>
      </c>
      <c r="N144" s="7">
        <f>ABS(F144-O144)+ABS(G144-P144)</f>
        <v>0.17351199999998812</v>
      </c>
      <c r="O144" s="25">
        <v>29.745851999999999</v>
      </c>
      <c r="P144">
        <v>-93.664389999999997</v>
      </c>
      <c r="Q144" s="2">
        <v>30203</v>
      </c>
      <c r="R144" s="2">
        <v>30206</v>
      </c>
      <c r="S144" t="s">
        <v>586</v>
      </c>
      <c r="T144" t="s">
        <v>26</v>
      </c>
      <c r="U144" t="s">
        <v>587</v>
      </c>
    </row>
    <row r="145" spans="1:21">
      <c r="A145" t="s">
        <v>588</v>
      </c>
      <c r="B145" t="s">
        <v>589</v>
      </c>
      <c r="C145" t="s">
        <v>590</v>
      </c>
      <c r="D145">
        <v>1983</v>
      </c>
      <c r="E145" t="s">
        <v>24</v>
      </c>
      <c r="F145">
        <v>29.173400000000001</v>
      </c>
      <c r="G145">
        <v>-95.143424999999993</v>
      </c>
      <c r="H145" s="2">
        <v>30546.3125</v>
      </c>
      <c r="I145" t="s">
        <v>61</v>
      </c>
      <c r="L145">
        <v>3.85</v>
      </c>
      <c r="M145">
        <v>12.63</v>
      </c>
      <c r="N145">
        <v>0.10572499999998899</v>
      </c>
      <c r="O145">
        <v>29.0898</v>
      </c>
      <c r="P145">
        <v>-95.121300000000005</v>
      </c>
      <c r="Q145" s="2">
        <v>30543</v>
      </c>
      <c r="R145" s="2">
        <v>30549</v>
      </c>
      <c r="S145" t="s">
        <v>591</v>
      </c>
      <c r="T145" t="s">
        <v>26</v>
      </c>
    </row>
    <row r="146" spans="1:21">
      <c r="A146" t="s">
        <v>592</v>
      </c>
      <c r="B146" t="s">
        <v>593</v>
      </c>
      <c r="C146" t="s">
        <v>594</v>
      </c>
      <c r="D146">
        <v>1984</v>
      </c>
      <c r="E146" t="s">
        <v>81</v>
      </c>
      <c r="F146">
        <v>33.909599999999998</v>
      </c>
      <c r="G146">
        <v>-78.077100000000002</v>
      </c>
      <c r="H146" s="2">
        <v>30938.333333333328</v>
      </c>
      <c r="I146" t="s">
        <v>324</v>
      </c>
      <c r="L146">
        <v>1.7</v>
      </c>
      <c r="M146">
        <v>5.5774299999999997</v>
      </c>
      <c r="N146">
        <v>0.31020000000000181</v>
      </c>
      <c r="O146">
        <v>34.030962287781598</v>
      </c>
      <c r="P146">
        <v>-77.889266000000006</v>
      </c>
      <c r="Q146" s="2">
        <v>30933</v>
      </c>
      <c r="R146" s="2">
        <v>30941</v>
      </c>
      <c r="S146" t="s">
        <v>595</v>
      </c>
      <c r="T146" t="s">
        <v>26</v>
      </c>
      <c r="U146" t="s">
        <v>596</v>
      </c>
    </row>
    <row r="147" spans="1:21">
      <c r="A147" t="s">
        <v>597</v>
      </c>
      <c r="B147" t="s">
        <v>598</v>
      </c>
      <c r="C147" t="s">
        <v>599</v>
      </c>
      <c r="D147">
        <v>1984</v>
      </c>
      <c r="E147" t="s">
        <v>37</v>
      </c>
      <c r="F147">
        <v>26.704799999999999</v>
      </c>
      <c r="G147">
        <v>-80.018333333333331</v>
      </c>
      <c r="H147" s="2">
        <v>30952.583333333328</v>
      </c>
      <c r="I147" t="s">
        <v>61</v>
      </c>
      <c r="J147">
        <v>0.2</v>
      </c>
      <c r="K147">
        <v>0.65600000000000003</v>
      </c>
      <c r="L147">
        <v>0.94</v>
      </c>
      <c r="M147">
        <v>3.07</v>
      </c>
      <c r="N147" s="7">
        <f>ABS(F147-O147)+ABS(G147-P147)</f>
        <v>0.10646666666666604</v>
      </c>
      <c r="O147">
        <v>26.613299999999999</v>
      </c>
      <c r="P147">
        <v>-80.033299999999997</v>
      </c>
      <c r="T147" t="s">
        <v>230</v>
      </c>
      <c r="U147" t="s">
        <v>600</v>
      </c>
    </row>
    <row r="148" spans="1:21">
      <c r="A148" t="s">
        <v>601</v>
      </c>
      <c r="B148" t="s">
        <v>602</v>
      </c>
      <c r="C148" t="s">
        <v>550</v>
      </c>
      <c r="D148">
        <v>1985</v>
      </c>
      <c r="E148" t="s">
        <v>75</v>
      </c>
      <c r="F148">
        <v>32.31666666666667</v>
      </c>
      <c r="G148">
        <v>-80.533333333333331</v>
      </c>
      <c r="H148" s="2">
        <v>31253.145833333328</v>
      </c>
      <c r="I148" t="s">
        <v>324</v>
      </c>
      <c r="L148">
        <v>0.5</v>
      </c>
      <c r="M148">
        <v>1.64042</v>
      </c>
      <c r="N148">
        <v>1.073366666666665</v>
      </c>
      <c r="O148">
        <v>32.781700000000001</v>
      </c>
      <c r="P148">
        <v>-79.924999999999997</v>
      </c>
      <c r="Q148" s="2">
        <v>31249</v>
      </c>
      <c r="R148" s="2">
        <v>31254</v>
      </c>
      <c r="S148" t="s">
        <v>603</v>
      </c>
      <c r="T148" t="s">
        <v>26</v>
      </c>
      <c r="U148" t="s">
        <v>604</v>
      </c>
    </row>
    <row r="149" spans="1:21">
      <c r="A149" t="s">
        <v>605</v>
      </c>
      <c r="B149" t="s">
        <v>606</v>
      </c>
      <c r="C149" t="s">
        <v>607</v>
      </c>
      <c r="D149">
        <v>1985</v>
      </c>
      <c r="E149" t="s">
        <v>31</v>
      </c>
      <c r="F149">
        <v>29.6</v>
      </c>
      <c r="G149">
        <v>-92.7</v>
      </c>
      <c r="H149" s="2">
        <v>31274.6875</v>
      </c>
      <c r="I149" t="s">
        <v>180</v>
      </c>
      <c r="L149">
        <v>2.44</v>
      </c>
      <c r="M149">
        <v>8</v>
      </c>
      <c r="N149">
        <v>0.56560000000000343</v>
      </c>
      <c r="O149">
        <v>29.583907</v>
      </c>
      <c r="P149">
        <v>-92.146900000000002</v>
      </c>
      <c r="Q149" s="2">
        <v>31271</v>
      </c>
      <c r="R149" s="2">
        <v>31279</v>
      </c>
      <c r="S149" t="s">
        <v>98</v>
      </c>
      <c r="T149" t="s">
        <v>26</v>
      </c>
      <c r="U149" t="s">
        <v>608</v>
      </c>
    </row>
    <row r="150" spans="1:21">
      <c r="A150" t="s">
        <v>609</v>
      </c>
      <c r="B150" t="s">
        <v>610</v>
      </c>
      <c r="C150" t="s">
        <v>558</v>
      </c>
      <c r="D150">
        <v>1985</v>
      </c>
      <c r="E150" t="s">
        <v>45</v>
      </c>
      <c r="F150">
        <v>30.4</v>
      </c>
      <c r="G150">
        <v>-89.2</v>
      </c>
      <c r="H150" s="2">
        <v>31292.541666666672</v>
      </c>
      <c r="J150">
        <v>2.44</v>
      </c>
      <c r="K150">
        <v>8</v>
      </c>
      <c r="N150">
        <v>1.1939999999999991</v>
      </c>
      <c r="O150">
        <v>30.246300000000002</v>
      </c>
      <c r="P150">
        <v>-88.159700000000001</v>
      </c>
      <c r="Q150" s="2">
        <v>31287</v>
      </c>
      <c r="R150" s="2">
        <v>31294</v>
      </c>
      <c r="S150" t="s">
        <v>611</v>
      </c>
      <c r="T150" t="s">
        <v>326</v>
      </c>
    </row>
    <row r="151" spans="1:21">
      <c r="A151" t="s">
        <v>612</v>
      </c>
      <c r="B151" t="s">
        <v>613</v>
      </c>
      <c r="C151" t="s">
        <v>614</v>
      </c>
      <c r="D151">
        <v>1985</v>
      </c>
      <c r="E151" t="s">
        <v>81</v>
      </c>
      <c r="F151">
        <v>35.5</v>
      </c>
      <c r="G151">
        <v>-75.5</v>
      </c>
      <c r="H151" s="2">
        <v>31317.25</v>
      </c>
      <c r="I151" t="s">
        <v>324</v>
      </c>
      <c r="L151">
        <v>1.8</v>
      </c>
      <c r="N151" s="7">
        <f>ABS(F151-O151)+ABS(G151-P151)</f>
        <v>1.6108579561506957</v>
      </c>
      <c r="O151">
        <v>35.023426293116998</v>
      </c>
      <c r="P151">
        <v>-76.634284249267694</v>
      </c>
      <c r="Q151" s="2">
        <v>31306</v>
      </c>
      <c r="R151" s="2">
        <v>31322</v>
      </c>
      <c r="S151" t="s">
        <v>615</v>
      </c>
      <c r="T151" t="s">
        <v>26</v>
      </c>
      <c r="U151" t="s">
        <v>616</v>
      </c>
    </row>
    <row r="152" spans="1:21">
      <c r="A152" t="s">
        <v>617</v>
      </c>
      <c r="B152" t="s">
        <v>613</v>
      </c>
      <c r="C152" t="s">
        <v>614</v>
      </c>
      <c r="D152">
        <v>1985</v>
      </c>
      <c r="E152" t="s">
        <v>198</v>
      </c>
      <c r="F152">
        <v>40.924999999999997</v>
      </c>
      <c r="G152">
        <v>-73.174999999999997</v>
      </c>
      <c r="H152" s="2">
        <v>31317.6875</v>
      </c>
      <c r="I152" t="s">
        <v>324</v>
      </c>
      <c r="J152">
        <v>2.1</v>
      </c>
      <c r="K152">
        <v>6.89</v>
      </c>
      <c r="N152">
        <v>1.0632999999999979</v>
      </c>
      <c r="O152">
        <v>40.700000000000003</v>
      </c>
      <c r="P152">
        <v>-74.013300000000001</v>
      </c>
      <c r="Q152" s="2">
        <v>31306</v>
      </c>
      <c r="R152" s="2">
        <v>31322</v>
      </c>
      <c r="S152" t="s">
        <v>615</v>
      </c>
      <c r="T152" t="s">
        <v>326</v>
      </c>
    </row>
    <row r="153" spans="1:21">
      <c r="A153" t="s">
        <v>618</v>
      </c>
      <c r="B153" t="s">
        <v>619</v>
      </c>
      <c r="C153" t="s">
        <v>620</v>
      </c>
      <c r="D153">
        <v>1985</v>
      </c>
      <c r="E153" t="s">
        <v>31</v>
      </c>
      <c r="F153">
        <v>29.5</v>
      </c>
      <c r="G153">
        <v>-91.4</v>
      </c>
      <c r="H153" s="2">
        <v>31349.458333333328</v>
      </c>
      <c r="J153">
        <v>2.44</v>
      </c>
      <c r="K153">
        <v>8</v>
      </c>
      <c r="N153">
        <v>0.99139999999999873</v>
      </c>
      <c r="O153">
        <v>29.2453</v>
      </c>
      <c r="P153">
        <v>-90.663300000000007</v>
      </c>
      <c r="Q153" s="2">
        <v>31346</v>
      </c>
      <c r="R153" s="2">
        <v>31352</v>
      </c>
      <c r="S153" t="s">
        <v>621</v>
      </c>
      <c r="T153" t="s">
        <v>326</v>
      </c>
    </row>
    <row r="154" spans="1:21">
      <c r="A154" t="s">
        <v>622</v>
      </c>
      <c r="B154" t="s">
        <v>623</v>
      </c>
      <c r="C154" t="s">
        <v>624</v>
      </c>
      <c r="D154">
        <v>1985</v>
      </c>
      <c r="E154" t="s">
        <v>37</v>
      </c>
      <c r="F154">
        <v>30</v>
      </c>
      <c r="G154">
        <v>-85.4</v>
      </c>
      <c r="H154" s="2">
        <v>31372.9375</v>
      </c>
      <c r="J154">
        <v>3.3527999999999998</v>
      </c>
      <c r="K154">
        <v>11</v>
      </c>
      <c r="N154">
        <v>0.4036000000000044</v>
      </c>
      <c r="O154">
        <v>29.668900000000001</v>
      </c>
      <c r="P154">
        <v>-85.327500000000001</v>
      </c>
      <c r="Q154" s="2">
        <v>31366</v>
      </c>
      <c r="R154" s="2">
        <v>31374</v>
      </c>
      <c r="S154" t="s">
        <v>625</v>
      </c>
      <c r="T154" t="s">
        <v>326</v>
      </c>
    </row>
    <row r="155" spans="1:21">
      <c r="A155" t="s">
        <v>626</v>
      </c>
      <c r="B155" t="s">
        <v>627</v>
      </c>
      <c r="C155" t="s">
        <v>628</v>
      </c>
      <c r="D155">
        <v>1986</v>
      </c>
      <c r="E155" t="s">
        <v>24</v>
      </c>
      <c r="F155">
        <v>29.6</v>
      </c>
      <c r="G155">
        <v>-94.2</v>
      </c>
      <c r="H155" s="2">
        <v>31589.416666666672</v>
      </c>
      <c r="I155" t="s">
        <v>324</v>
      </c>
      <c r="J155">
        <v>1.5849599999999999</v>
      </c>
      <c r="K155">
        <v>5.2</v>
      </c>
      <c r="N155">
        <v>0.25000000000000361</v>
      </c>
      <c r="O155">
        <v>29.683299999999999</v>
      </c>
      <c r="P155">
        <v>-94.033299999999997</v>
      </c>
      <c r="Q155" s="2">
        <v>31586</v>
      </c>
      <c r="R155" s="2">
        <v>31591</v>
      </c>
      <c r="S155" t="s">
        <v>629</v>
      </c>
      <c r="T155" t="s">
        <v>326</v>
      </c>
    </row>
    <row r="156" spans="1:21">
      <c r="A156" t="s">
        <v>630</v>
      </c>
      <c r="B156" t="s">
        <v>631</v>
      </c>
      <c r="C156" t="s">
        <v>632</v>
      </c>
      <c r="D156">
        <v>1986</v>
      </c>
      <c r="E156" t="s">
        <v>81</v>
      </c>
      <c r="F156">
        <v>34.782049999999998</v>
      </c>
      <c r="G156">
        <v>-76.467100000000002</v>
      </c>
      <c r="H156" s="2">
        <v>31641.604166666672</v>
      </c>
      <c r="I156" t="s">
        <v>76</v>
      </c>
      <c r="L156">
        <v>1.761744</v>
      </c>
      <c r="M156">
        <v>5.78</v>
      </c>
      <c r="N156">
        <v>0.59505000000000763</v>
      </c>
      <c r="O156">
        <v>35.04</v>
      </c>
      <c r="P156">
        <v>-76.13</v>
      </c>
      <c r="Q156" s="2">
        <v>31637</v>
      </c>
      <c r="R156" s="2">
        <v>31654</v>
      </c>
      <c r="S156" t="s">
        <v>633</v>
      </c>
      <c r="T156" t="s">
        <v>26</v>
      </c>
    </row>
    <row r="157" spans="1:21">
      <c r="A157" t="s">
        <v>634</v>
      </c>
      <c r="B157" t="s">
        <v>635</v>
      </c>
      <c r="C157" t="s">
        <v>636</v>
      </c>
      <c r="D157">
        <v>1987</v>
      </c>
      <c r="E157" t="s">
        <v>24</v>
      </c>
      <c r="F157">
        <v>29.5</v>
      </c>
      <c r="G157">
        <v>-94.5</v>
      </c>
      <c r="H157" s="2">
        <v>31999.25</v>
      </c>
      <c r="I157" t="s">
        <v>61</v>
      </c>
      <c r="L157">
        <v>0.3</v>
      </c>
      <c r="M157">
        <v>0.98199999999999998</v>
      </c>
      <c r="N157" s="7">
        <f>ABS(F157-O157)+ABS(G157-P157)</f>
        <v>0.48330000000000339</v>
      </c>
      <c r="O157">
        <v>29.31</v>
      </c>
      <c r="P157">
        <v>-94.793300000000002</v>
      </c>
      <c r="T157" t="s">
        <v>230</v>
      </c>
      <c r="U157" t="s">
        <v>637</v>
      </c>
    </row>
    <row r="158" spans="1:21">
      <c r="A158" t="s">
        <v>638</v>
      </c>
      <c r="B158" t="s">
        <v>639</v>
      </c>
      <c r="C158" t="s">
        <v>640</v>
      </c>
      <c r="D158">
        <v>1987</v>
      </c>
      <c r="E158" t="s">
        <v>37</v>
      </c>
      <c r="F158">
        <v>25.1</v>
      </c>
      <c r="G158">
        <v>-80.5</v>
      </c>
      <c r="H158" s="2">
        <v>32062.875</v>
      </c>
      <c r="J158">
        <v>1.22</v>
      </c>
      <c r="K158">
        <v>4</v>
      </c>
      <c r="N158">
        <v>1.7805000000000071</v>
      </c>
      <c r="O158">
        <v>24.573899999999998</v>
      </c>
      <c r="P158">
        <v>-81.754400000000004</v>
      </c>
      <c r="Q158" s="2">
        <v>32059</v>
      </c>
      <c r="R158" s="2">
        <v>32064</v>
      </c>
      <c r="S158" t="s">
        <v>641</v>
      </c>
      <c r="T158" t="s">
        <v>326</v>
      </c>
    </row>
    <row r="159" spans="1:21">
      <c r="A159" t="s">
        <v>642</v>
      </c>
      <c r="B159" t="s">
        <v>643</v>
      </c>
      <c r="C159" t="s">
        <v>644</v>
      </c>
      <c r="D159">
        <v>1988</v>
      </c>
      <c r="E159" t="s">
        <v>31</v>
      </c>
      <c r="F159">
        <v>29.690966666666672</v>
      </c>
      <c r="G159">
        <v>-89.647233333333332</v>
      </c>
      <c r="H159" s="2">
        <v>32364.291666666672</v>
      </c>
      <c r="J159">
        <v>1.6763999999999999</v>
      </c>
      <c r="K159">
        <v>5.5</v>
      </c>
      <c r="N159">
        <v>0.52320000000000277</v>
      </c>
      <c r="O159">
        <v>30.003799999999998</v>
      </c>
      <c r="P159">
        <v>-89.857600000000005</v>
      </c>
      <c r="Q159" s="2">
        <v>32363</v>
      </c>
      <c r="R159" s="2">
        <v>32365</v>
      </c>
      <c r="S159" t="s">
        <v>645</v>
      </c>
      <c r="T159" t="s">
        <v>326</v>
      </c>
    </row>
    <row r="160" spans="1:21">
      <c r="A160" t="s">
        <v>646</v>
      </c>
      <c r="B160" t="s">
        <v>647</v>
      </c>
      <c r="C160" t="s">
        <v>585</v>
      </c>
      <c r="D160">
        <v>1988</v>
      </c>
      <c r="E160" t="s">
        <v>278</v>
      </c>
      <c r="F160">
        <v>32.133333333333333</v>
      </c>
      <c r="G160">
        <v>-80.933333333333337</v>
      </c>
      <c r="H160" s="2">
        <v>32383.645833333328</v>
      </c>
      <c r="I160" s="19"/>
      <c r="J160">
        <v>0.5</v>
      </c>
      <c r="K160">
        <v>1.6404199475065619</v>
      </c>
      <c r="N160">
        <v>0.13166666666666771</v>
      </c>
      <c r="O160">
        <v>32.033299999999997</v>
      </c>
      <c r="P160">
        <v>-80.901700000000005</v>
      </c>
      <c r="Q160" s="2">
        <v>32376</v>
      </c>
      <c r="R160" s="2">
        <v>32384</v>
      </c>
      <c r="S160" t="s">
        <v>648</v>
      </c>
      <c r="T160" t="s">
        <v>326</v>
      </c>
      <c r="U160" t="s">
        <v>649</v>
      </c>
    </row>
    <row r="161" spans="1:21">
      <c r="A161" t="s">
        <v>650</v>
      </c>
      <c r="B161" t="s">
        <v>651</v>
      </c>
      <c r="C161" t="s">
        <v>323</v>
      </c>
      <c r="D161">
        <v>1988</v>
      </c>
      <c r="E161" t="s">
        <v>31</v>
      </c>
      <c r="F161">
        <v>29.184149999999999</v>
      </c>
      <c r="G161">
        <v>-89.326349999999991</v>
      </c>
      <c r="H161" s="2">
        <v>32396.104166666672</v>
      </c>
      <c r="I161" t="s">
        <v>61</v>
      </c>
      <c r="L161">
        <v>2.286</v>
      </c>
      <c r="M161">
        <v>7.5</v>
      </c>
      <c r="N161">
        <v>1.35090000000001</v>
      </c>
      <c r="O161">
        <v>30.003799999999998</v>
      </c>
      <c r="P161">
        <v>-89.857600000000005</v>
      </c>
      <c r="Q161" s="2">
        <v>32393</v>
      </c>
      <c r="R161" s="2">
        <v>32397</v>
      </c>
      <c r="S161" t="s">
        <v>652</v>
      </c>
      <c r="T161" t="s">
        <v>26</v>
      </c>
    </row>
    <row r="162" spans="1:21">
      <c r="A162" t="s">
        <v>653</v>
      </c>
      <c r="B162" t="s">
        <v>654</v>
      </c>
      <c r="C162" t="s">
        <v>655</v>
      </c>
      <c r="D162">
        <v>1988</v>
      </c>
      <c r="E162" t="s">
        <v>24</v>
      </c>
      <c r="F162">
        <v>24.110499999999998</v>
      </c>
      <c r="G162">
        <v>-97.598299999999995</v>
      </c>
      <c r="H162" s="2">
        <v>32402.875</v>
      </c>
      <c r="J162" t="s">
        <v>656</v>
      </c>
      <c r="K162">
        <v>6</v>
      </c>
      <c r="N162">
        <v>2.4063999999999912</v>
      </c>
      <c r="O162">
        <v>26.0733</v>
      </c>
      <c r="P162">
        <v>-97.154700000000005</v>
      </c>
      <c r="Q162" s="2">
        <v>32394</v>
      </c>
      <c r="R162" s="2">
        <v>32406</v>
      </c>
      <c r="S162" t="s">
        <v>657</v>
      </c>
      <c r="T162" t="s">
        <v>326</v>
      </c>
    </row>
    <row r="163" spans="1:21">
      <c r="A163" t="s">
        <v>658</v>
      </c>
      <c r="B163" t="s">
        <v>659</v>
      </c>
      <c r="C163" t="s">
        <v>660</v>
      </c>
      <c r="D163">
        <v>1988</v>
      </c>
      <c r="E163" t="s">
        <v>37</v>
      </c>
      <c r="F163">
        <v>27.3</v>
      </c>
      <c r="G163">
        <v>-82.6</v>
      </c>
      <c r="H163" s="2">
        <v>32470.291666666672</v>
      </c>
      <c r="J163">
        <v>1.8288</v>
      </c>
      <c r="K163">
        <v>6</v>
      </c>
      <c r="N163">
        <v>0.22569999999999271</v>
      </c>
      <c r="O163">
        <v>27.499400000000001</v>
      </c>
      <c r="P163">
        <v>-82.573700000000002</v>
      </c>
      <c r="Q163" s="2">
        <v>32464</v>
      </c>
      <c r="R163" s="2">
        <v>32473</v>
      </c>
      <c r="S163" t="s">
        <v>661</v>
      </c>
      <c r="T163" t="s">
        <v>326</v>
      </c>
    </row>
    <row r="164" spans="1:21">
      <c r="A164" t="s">
        <v>662</v>
      </c>
      <c r="B164" t="s">
        <v>663</v>
      </c>
      <c r="C164" t="s">
        <v>664</v>
      </c>
      <c r="D164">
        <v>1989</v>
      </c>
      <c r="E164" t="s">
        <v>24</v>
      </c>
      <c r="F164">
        <v>28.742425000000001</v>
      </c>
      <c r="G164">
        <v>-95.7</v>
      </c>
      <c r="H164" s="2">
        <v>32685.5625</v>
      </c>
      <c r="I164" s="19"/>
      <c r="J164">
        <v>0.8</v>
      </c>
      <c r="K164">
        <v>2.62</v>
      </c>
      <c r="N164">
        <v>1.4726750000000099</v>
      </c>
      <c r="O164">
        <v>29.309000000000001</v>
      </c>
      <c r="P164">
        <v>-94.793899999999994</v>
      </c>
      <c r="Q164" s="2">
        <v>32683</v>
      </c>
      <c r="R164" s="2">
        <v>32690</v>
      </c>
      <c r="S164" t="s">
        <v>665</v>
      </c>
      <c r="T164" t="s">
        <v>326</v>
      </c>
      <c r="U164" t="s">
        <v>649</v>
      </c>
    </row>
    <row r="165" spans="1:21">
      <c r="A165" t="s">
        <v>666</v>
      </c>
      <c r="B165" t="s">
        <v>667</v>
      </c>
      <c r="C165" t="s">
        <v>668</v>
      </c>
      <c r="D165">
        <v>1989</v>
      </c>
      <c r="E165" t="s">
        <v>24</v>
      </c>
      <c r="F165">
        <v>29.55</v>
      </c>
      <c r="G165">
        <v>-94.35</v>
      </c>
      <c r="H165" s="2">
        <v>32721.520833333328</v>
      </c>
      <c r="I165" t="s">
        <v>61</v>
      </c>
      <c r="L165">
        <v>2.1335999999999999</v>
      </c>
      <c r="M165">
        <v>7</v>
      </c>
      <c r="N165">
        <v>3.6400000000007537E-2</v>
      </c>
      <c r="O165">
        <v>29.550599999999999</v>
      </c>
      <c r="P165">
        <v>-94.385800000000003</v>
      </c>
      <c r="Q165" s="2">
        <v>32719</v>
      </c>
      <c r="R165" s="2">
        <v>32723</v>
      </c>
      <c r="S165" t="s">
        <v>669</v>
      </c>
      <c r="T165" t="s">
        <v>26</v>
      </c>
    </row>
    <row r="166" spans="1:21">
      <c r="A166" t="s">
        <v>670</v>
      </c>
      <c r="B166" t="s">
        <v>671</v>
      </c>
      <c r="C166" t="s">
        <v>672</v>
      </c>
      <c r="D166">
        <v>1989</v>
      </c>
      <c r="E166" t="s">
        <v>75</v>
      </c>
      <c r="F166">
        <v>32.974999999999987</v>
      </c>
      <c r="G166">
        <v>-79.924999999999997</v>
      </c>
      <c r="H166" s="2">
        <v>32773.1875</v>
      </c>
      <c r="I166" t="s">
        <v>180</v>
      </c>
      <c r="L166">
        <v>6.1569599999999998</v>
      </c>
      <c r="M166">
        <v>20.2</v>
      </c>
      <c r="N166">
        <v>0.29889999999999622</v>
      </c>
      <c r="O166">
        <v>32.9544</v>
      </c>
      <c r="P166">
        <v>-79.646699999999996</v>
      </c>
      <c r="Q166" s="2">
        <v>32772</v>
      </c>
      <c r="R166" s="2">
        <v>32773</v>
      </c>
      <c r="S166" t="s">
        <v>673</v>
      </c>
      <c r="T166" t="s">
        <v>26</v>
      </c>
    </row>
    <row r="167" spans="1:21">
      <c r="A167" t="s">
        <v>674</v>
      </c>
      <c r="B167" t="s">
        <v>675</v>
      </c>
      <c r="C167" t="s">
        <v>676</v>
      </c>
      <c r="D167">
        <v>1989</v>
      </c>
      <c r="E167" t="s">
        <v>24</v>
      </c>
      <c r="F167">
        <v>29.2</v>
      </c>
      <c r="G167">
        <v>-95</v>
      </c>
      <c r="H167" s="2">
        <v>32797.020833333343</v>
      </c>
      <c r="L167">
        <v>2.4384000000000001</v>
      </c>
      <c r="M167">
        <v>8</v>
      </c>
      <c r="N167">
        <v>0.4970999999999961</v>
      </c>
      <c r="O167">
        <v>29.676300000000001</v>
      </c>
      <c r="P167">
        <v>-94.979200000000006</v>
      </c>
      <c r="Q167" s="2">
        <v>32793</v>
      </c>
      <c r="R167" s="2">
        <v>32797</v>
      </c>
      <c r="S167" t="s">
        <v>677</v>
      </c>
      <c r="T167" t="s">
        <v>26</v>
      </c>
    </row>
    <row r="168" spans="1:21">
      <c r="A168" t="s">
        <v>678</v>
      </c>
      <c r="B168" t="s">
        <v>679</v>
      </c>
      <c r="C168" t="s">
        <v>680</v>
      </c>
      <c r="D168">
        <v>1990</v>
      </c>
      <c r="E168" t="s">
        <v>37</v>
      </c>
      <c r="F168">
        <v>27.432083333333331</v>
      </c>
      <c r="G168">
        <v>-82.780816666666666</v>
      </c>
      <c r="H168" s="2">
        <v>33157.479166666657</v>
      </c>
      <c r="I168" s="19"/>
      <c r="J168">
        <v>0.76200000000000001</v>
      </c>
      <c r="K168">
        <v>2.5</v>
      </c>
      <c r="N168">
        <v>1.736799999999999</v>
      </c>
      <c r="O168">
        <v>26.4375</v>
      </c>
      <c r="P168">
        <v>-82.038600000000002</v>
      </c>
      <c r="Q168" s="2">
        <v>33155</v>
      </c>
      <c r="R168" s="2">
        <v>33159</v>
      </c>
      <c r="S168" t="s">
        <v>681</v>
      </c>
      <c r="T168" t="s">
        <v>326</v>
      </c>
      <c r="U168" t="s">
        <v>649</v>
      </c>
    </row>
    <row r="169" spans="1:21">
      <c r="A169" t="s">
        <v>682</v>
      </c>
      <c r="B169" t="s">
        <v>683</v>
      </c>
      <c r="C169" t="s">
        <v>550</v>
      </c>
      <c r="D169">
        <v>1991</v>
      </c>
      <c r="E169" t="s">
        <v>684</v>
      </c>
      <c r="F169">
        <v>41.815399999999997</v>
      </c>
      <c r="G169">
        <v>-71.107566666666671</v>
      </c>
      <c r="H169" s="2">
        <v>33469.791666666657</v>
      </c>
      <c r="I169" t="s">
        <v>180</v>
      </c>
      <c r="L169">
        <v>4.2</v>
      </c>
      <c r="M169">
        <v>13.78</v>
      </c>
      <c r="N169">
        <v>0.79673333333332153</v>
      </c>
      <c r="O169">
        <v>41.386499999999998</v>
      </c>
      <c r="P169">
        <v>-71.475399999999993</v>
      </c>
      <c r="Q169" s="2">
        <v>33466</v>
      </c>
      <c r="R169" s="2">
        <v>33479</v>
      </c>
      <c r="S169" t="s">
        <v>685</v>
      </c>
      <c r="T169" t="s">
        <v>26</v>
      </c>
    </row>
    <row r="170" spans="1:21">
      <c r="A170" t="s">
        <v>686</v>
      </c>
      <c r="B170" t="s">
        <v>687</v>
      </c>
      <c r="C170" t="s">
        <v>688</v>
      </c>
      <c r="D170">
        <v>1992</v>
      </c>
      <c r="E170" t="s">
        <v>37</v>
      </c>
      <c r="F170">
        <v>25.4999</v>
      </c>
      <c r="G170">
        <v>-80.28</v>
      </c>
      <c r="H170" s="2">
        <v>33840.375</v>
      </c>
      <c r="I170" t="s">
        <v>180</v>
      </c>
      <c r="L170">
        <v>5.2</v>
      </c>
      <c r="M170">
        <v>17.059999999999999</v>
      </c>
      <c r="N170">
        <v>0.13229999999999359</v>
      </c>
      <c r="O170">
        <v>25.602799999999998</v>
      </c>
      <c r="P170">
        <v>-80.309399999999997</v>
      </c>
      <c r="Q170" s="2">
        <v>33832</v>
      </c>
      <c r="R170" s="2">
        <v>33844</v>
      </c>
      <c r="S170" t="s">
        <v>689</v>
      </c>
      <c r="T170" t="s">
        <v>26</v>
      </c>
    </row>
    <row r="171" spans="1:21">
      <c r="A171" t="s">
        <v>690</v>
      </c>
      <c r="B171" t="s">
        <v>687</v>
      </c>
      <c r="C171" t="s">
        <v>688</v>
      </c>
      <c r="D171">
        <v>1992</v>
      </c>
      <c r="E171" t="s">
        <v>31</v>
      </c>
      <c r="F171">
        <v>29.28</v>
      </c>
      <c r="G171">
        <v>-91.34</v>
      </c>
      <c r="H171" s="2">
        <v>33842.270833333343</v>
      </c>
      <c r="I171" t="s">
        <v>180</v>
      </c>
      <c r="L171">
        <v>3.1</v>
      </c>
      <c r="M171">
        <v>10.17</v>
      </c>
      <c r="N171">
        <v>0.7201999999999984</v>
      </c>
      <c r="O171">
        <v>29.230499999999999</v>
      </c>
      <c r="P171">
        <v>-90.669300000000007</v>
      </c>
      <c r="Q171" s="2">
        <v>33832</v>
      </c>
      <c r="R171" s="2">
        <v>33844</v>
      </c>
      <c r="S171" t="s">
        <v>691</v>
      </c>
      <c r="T171" t="s">
        <v>26</v>
      </c>
    </row>
    <row r="172" spans="1:21">
      <c r="A172" t="s">
        <v>692</v>
      </c>
      <c r="B172" t="s">
        <v>693</v>
      </c>
      <c r="C172" t="s">
        <v>375</v>
      </c>
      <c r="D172">
        <v>1993</v>
      </c>
      <c r="E172" t="s">
        <v>24</v>
      </c>
      <c r="F172">
        <v>27.116666666666671</v>
      </c>
      <c r="G172">
        <v>-97.466666666666669</v>
      </c>
      <c r="H172" s="2">
        <v>34140.395833333343</v>
      </c>
      <c r="I172" t="s">
        <v>61</v>
      </c>
      <c r="J172">
        <v>0.54864000000000002</v>
      </c>
      <c r="K172">
        <v>1.8</v>
      </c>
      <c r="L172">
        <v>0.79247999999999996</v>
      </c>
      <c r="M172">
        <v>2.6</v>
      </c>
      <c r="N172">
        <v>0.71329999999999671</v>
      </c>
      <c r="O172">
        <v>27.58</v>
      </c>
      <c r="P172">
        <v>-97.216700000000003</v>
      </c>
      <c r="Q172" s="2">
        <v>34138</v>
      </c>
      <c r="R172" s="2">
        <v>34141</v>
      </c>
      <c r="S172" t="s">
        <v>694</v>
      </c>
      <c r="T172" t="s">
        <v>26</v>
      </c>
    </row>
    <row r="173" spans="1:21">
      <c r="A173" t="s">
        <v>695</v>
      </c>
      <c r="B173" t="s">
        <v>696</v>
      </c>
      <c r="C173" t="s">
        <v>697</v>
      </c>
      <c r="D173">
        <v>1993</v>
      </c>
      <c r="E173" t="s">
        <v>81</v>
      </c>
      <c r="F173">
        <v>35.400000000000013</v>
      </c>
      <c r="G173">
        <v>-75</v>
      </c>
      <c r="H173" s="2">
        <v>34212.9375</v>
      </c>
      <c r="I173" s="19" t="s">
        <v>61</v>
      </c>
      <c r="L173">
        <v>3.11</v>
      </c>
      <c r="M173">
        <v>10.199999999999999</v>
      </c>
      <c r="N173">
        <v>0.6682000000000059</v>
      </c>
      <c r="O173">
        <v>35.271999999999998</v>
      </c>
      <c r="P173">
        <v>-75.540199999999999</v>
      </c>
      <c r="Q173" s="2">
        <v>34212</v>
      </c>
      <c r="R173" s="2">
        <v>34213</v>
      </c>
      <c r="S173" t="s">
        <v>698</v>
      </c>
      <c r="T173" t="s">
        <v>26</v>
      </c>
      <c r="U173" t="s">
        <v>699</v>
      </c>
    </row>
    <row r="174" spans="1:21">
      <c r="A174" t="s">
        <v>700</v>
      </c>
      <c r="B174" t="s">
        <v>701</v>
      </c>
      <c r="C174" t="s">
        <v>702</v>
      </c>
      <c r="D174">
        <v>1994</v>
      </c>
      <c r="E174" t="s">
        <v>37</v>
      </c>
      <c r="F174">
        <v>30.4</v>
      </c>
      <c r="G174">
        <v>-86.5</v>
      </c>
      <c r="H174" s="2">
        <v>34518.625</v>
      </c>
      <c r="L174">
        <v>1.524</v>
      </c>
      <c r="M174">
        <v>5</v>
      </c>
      <c r="N174">
        <v>1.4800000000001029E-2</v>
      </c>
      <c r="O174">
        <v>30.388300000000001</v>
      </c>
      <c r="P174">
        <v>-86.503100000000003</v>
      </c>
      <c r="Q174" s="2">
        <v>34515</v>
      </c>
      <c r="R174" s="2">
        <v>34522</v>
      </c>
      <c r="S174" t="s">
        <v>703</v>
      </c>
      <c r="T174" t="s">
        <v>26</v>
      </c>
    </row>
    <row r="175" spans="1:21">
      <c r="A175" t="s">
        <v>704</v>
      </c>
      <c r="B175" t="s">
        <v>705</v>
      </c>
      <c r="C175" t="s">
        <v>644</v>
      </c>
      <c r="D175">
        <v>1994</v>
      </c>
      <c r="E175" t="s">
        <v>37</v>
      </c>
      <c r="F175">
        <v>30.1</v>
      </c>
      <c r="G175">
        <v>-85.5</v>
      </c>
      <c r="H175" s="2">
        <v>34562.0625</v>
      </c>
      <c r="I175" s="19"/>
      <c r="J175">
        <v>0.88392000000000004</v>
      </c>
      <c r="K175">
        <v>2.9</v>
      </c>
      <c r="N175">
        <v>0.89159999999999684</v>
      </c>
      <c r="O175">
        <v>29.726700000000001</v>
      </c>
      <c r="P175">
        <v>-84.981700000000004</v>
      </c>
      <c r="Q175" s="2">
        <v>34560</v>
      </c>
      <c r="R175" s="2">
        <v>34565</v>
      </c>
      <c r="S175" t="s">
        <v>706</v>
      </c>
      <c r="T175" t="s">
        <v>326</v>
      </c>
      <c r="U175" t="s">
        <v>707</v>
      </c>
    </row>
    <row r="176" spans="1:21" ht="15.75">
      <c r="A176" t="s">
        <v>708</v>
      </c>
      <c r="B176" t="s">
        <v>709</v>
      </c>
      <c r="C176" t="s">
        <v>710</v>
      </c>
      <c r="D176">
        <v>1994</v>
      </c>
      <c r="E176" t="s">
        <v>37</v>
      </c>
      <c r="F176">
        <v>26.45</v>
      </c>
      <c r="G176">
        <v>-81.95</v>
      </c>
      <c r="H176" s="2">
        <v>34654.520833333343</v>
      </c>
      <c r="I176" s="19"/>
      <c r="J176" t="s">
        <v>296</v>
      </c>
      <c r="K176" s="23">
        <v>6.89</v>
      </c>
      <c r="N176">
        <v>2.0779000000000072</v>
      </c>
      <c r="O176">
        <v>24.5547</v>
      </c>
      <c r="P176">
        <v>-81.767399999999995</v>
      </c>
      <c r="Q176" s="2">
        <v>34646</v>
      </c>
      <c r="R176" s="2">
        <v>34659</v>
      </c>
      <c r="S176" t="s">
        <v>711</v>
      </c>
      <c r="T176" t="s">
        <v>326</v>
      </c>
      <c r="U176" t="s">
        <v>649</v>
      </c>
    </row>
    <row r="177" spans="1:21">
      <c r="A177" t="s">
        <v>712</v>
      </c>
      <c r="B177" t="s">
        <v>713</v>
      </c>
      <c r="C177" t="s">
        <v>664</v>
      </c>
      <c r="D177">
        <v>1995</v>
      </c>
      <c r="E177" t="s">
        <v>37</v>
      </c>
      <c r="F177">
        <v>29.9</v>
      </c>
      <c r="G177">
        <v>-84.4</v>
      </c>
      <c r="H177" s="2">
        <v>34855.583333333343</v>
      </c>
      <c r="J177">
        <v>2.44</v>
      </c>
      <c r="K177">
        <v>8</v>
      </c>
      <c r="N177">
        <v>0.57900000000000063</v>
      </c>
      <c r="O177">
        <v>30.1053</v>
      </c>
      <c r="P177">
        <v>-84.026300000000006</v>
      </c>
      <c r="Q177" s="2">
        <v>34853</v>
      </c>
      <c r="R177" s="2">
        <v>34861</v>
      </c>
      <c r="S177" t="s">
        <v>714</v>
      </c>
      <c r="T177" t="s">
        <v>326</v>
      </c>
    </row>
    <row r="178" spans="1:21">
      <c r="A178" t="s">
        <v>715</v>
      </c>
      <c r="B178" t="s">
        <v>716</v>
      </c>
      <c r="C178" t="s">
        <v>717</v>
      </c>
      <c r="D178">
        <v>1995</v>
      </c>
      <c r="E178" t="s">
        <v>24</v>
      </c>
      <c r="F178">
        <v>29.1</v>
      </c>
      <c r="G178">
        <v>-95.15</v>
      </c>
      <c r="H178" s="2">
        <v>34911.041666666657</v>
      </c>
      <c r="I178" t="s">
        <v>193</v>
      </c>
      <c r="L178">
        <v>1.4630399999999999</v>
      </c>
      <c r="M178">
        <v>4.8</v>
      </c>
      <c r="N178">
        <v>0.54780000000000939</v>
      </c>
      <c r="O178">
        <v>29.2879</v>
      </c>
      <c r="P178">
        <v>-94.790099999999995</v>
      </c>
      <c r="Q178" s="2">
        <v>34911</v>
      </c>
      <c r="R178" s="2">
        <v>34917</v>
      </c>
      <c r="S178" t="s">
        <v>718</v>
      </c>
      <c r="T178" t="s">
        <v>26</v>
      </c>
      <c r="U178" t="s">
        <v>719</v>
      </c>
    </row>
    <row r="179" spans="1:21">
      <c r="A179" t="s">
        <v>720</v>
      </c>
      <c r="B179" t="s">
        <v>721</v>
      </c>
      <c r="C179" t="s">
        <v>722</v>
      </c>
      <c r="D179">
        <v>1995</v>
      </c>
      <c r="E179" t="s">
        <v>37</v>
      </c>
      <c r="F179">
        <v>27.4132</v>
      </c>
      <c r="G179">
        <v>-80.275000000000006</v>
      </c>
      <c r="H179" s="2">
        <v>34913.125</v>
      </c>
      <c r="I179" t="s">
        <v>61</v>
      </c>
      <c r="L179">
        <v>1.524</v>
      </c>
      <c r="M179">
        <v>5</v>
      </c>
      <c r="N179">
        <v>1.058799999999998</v>
      </c>
      <c r="O179">
        <v>28.123999999999999</v>
      </c>
      <c r="P179">
        <v>-80.623000000000005</v>
      </c>
      <c r="Q179" s="2">
        <v>34911</v>
      </c>
      <c r="R179" s="2">
        <v>34917</v>
      </c>
      <c r="S179" t="s">
        <v>718</v>
      </c>
      <c r="T179" t="s">
        <v>26</v>
      </c>
    </row>
    <row r="180" spans="1:21">
      <c r="A180" t="s">
        <v>723</v>
      </c>
      <c r="B180" t="s">
        <v>721</v>
      </c>
      <c r="C180" t="s">
        <v>722</v>
      </c>
      <c r="D180">
        <v>1995</v>
      </c>
      <c r="E180" t="s">
        <v>37</v>
      </c>
      <c r="F180">
        <v>30.375</v>
      </c>
      <c r="G180">
        <v>-87.275000000000006</v>
      </c>
      <c r="H180" s="2">
        <v>34914.6875</v>
      </c>
      <c r="I180" t="s">
        <v>180</v>
      </c>
      <c r="L180">
        <v>2.13</v>
      </c>
      <c r="M180">
        <v>7</v>
      </c>
      <c r="N180">
        <v>0.4112000000000009</v>
      </c>
      <c r="O180">
        <v>30.3795</v>
      </c>
      <c r="P180">
        <v>-86.868300000000005</v>
      </c>
      <c r="Q180" s="2">
        <v>34911</v>
      </c>
      <c r="R180" s="2">
        <v>34917</v>
      </c>
      <c r="S180" t="s">
        <v>718</v>
      </c>
      <c r="T180" t="s">
        <v>26</v>
      </c>
      <c r="U180" t="s">
        <v>724</v>
      </c>
    </row>
    <row r="181" spans="1:21">
      <c r="A181" t="s">
        <v>725</v>
      </c>
      <c r="B181" t="s">
        <v>726</v>
      </c>
      <c r="C181" t="s">
        <v>676</v>
      </c>
      <c r="D181">
        <v>1995</v>
      </c>
      <c r="E181" t="s">
        <v>37</v>
      </c>
      <c r="F181">
        <v>26.844999999999999</v>
      </c>
      <c r="G181">
        <v>-80.04346666666666</v>
      </c>
      <c r="H181" s="2">
        <v>34934.666666666664</v>
      </c>
      <c r="I181" t="s">
        <v>324</v>
      </c>
      <c r="L181">
        <v>0.61</v>
      </c>
      <c r="M181">
        <v>2</v>
      </c>
      <c r="N181">
        <v>0</v>
      </c>
      <c r="O181">
        <v>26.844999999999999</v>
      </c>
      <c r="P181">
        <v>-80.04346666666666</v>
      </c>
      <c r="Q181" s="2">
        <v>34933</v>
      </c>
      <c r="R181" s="2">
        <v>34939</v>
      </c>
      <c r="S181" t="s">
        <v>727</v>
      </c>
      <c r="T181" t="s">
        <v>26</v>
      </c>
      <c r="U181" t="s">
        <v>728</v>
      </c>
    </row>
    <row r="182" spans="1:21">
      <c r="A182" t="s">
        <v>729</v>
      </c>
      <c r="B182" t="s">
        <v>730</v>
      </c>
      <c r="C182" t="s">
        <v>731</v>
      </c>
      <c r="D182">
        <v>1995</v>
      </c>
      <c r="E182" t="s">
        <v>37</v>
      </c>
      <c r="F182">
        <v>30.475000000000001</v>
      </c>
      <c r="G182">
        <v>-87.024999999999991</v>
      </c>
      <c r="H182" s="2">
        <v>34976.9375</v>
      </c>
      <c r="I182" t="s">
        <v>61</v>
      </c>
      <c r="L182">
        <v>6.6</v>
      </c>
      <c r="M182">
        <v>21.5</v>
      </c>
      <c r="N182">
        <v>0.72139999999998849</v>
      </c>
      <c r="O182">
        <v>30.378599999999999</v>
      </c>
      <c r="P182">
        <v>-86.4</v>
      </c>
      <c r="Q182" s="2">
        <v>34969</v>
      </c>
      <c r="R182" s="2">
        <v>34978</v>
      </c>
      <c r="S182" t="s">
        <v>302</v>
      </c>
      <c r="T182" t="s">
        <v>26</v>
      </c>
    </row>
    <row r="183" spans="1:21">
      <c r="A183" t="s">
        <v>732</v>
      </c>
      <c r="B183" t="s">
        <v>733</v>
      </c>
      <c r="C183" t="s">
        <v>734</v>
      </c>
      <c r="D183">
        <v>1996</v>
      </c>
      <c r="E183" t="s">
        <v>81</v>
      </c>
      <c r="F183">
        <v>34.125</v>
      </c>
      <c r="G183">
        <v>-77.875</v>
      </c>
      <c r="H183" s="2">
        <v>35258.8125</v>
      </c>
      <c r="J183">
        <v>3.04</v>
      </c>
      <c r="K183">
        <v>10</v>
      </c>
      <c r="N183">
        <v>0.4847999999999999</v>
      </c>
      <c r="O183">
        <v>34.365000000000002</v>
      </c>
      <c r="P183">
        <v>-77.630200000000002</v>
      </c>
      <c r="Q183" s="2">
        <v>35251</v>
      </c>
      <c r="R183" s="2">
        <v>35260</v>
      </c>
      <c r="S183" t="s">
        <v>735</v>
      </c>
      <c r="T183" t="s">
        <v>326</v>
      </c>
      <c r="U183" t="s">
        <v>736</v>
      </c>
    </row>
    <row r="184" spans="1:21">
      <c r="A184" t="s">
        <v>737</v>
      </c>
      <c r="B184" t="s">
        <v>738</v>
      </c>
      <c r="C184" t="s">
        <v>739</v>
      </c>
      <c r="D184">
        <v>1996</v>
      </c>
      <c r="E184" t="s">
        <v>81</v>
      </c>
      <c r="F184">
        <v>33.9</v>
      </c>
      <c r="G184">
        <v>-78</v>
      </c>
      <c r="H184" s="2">
        <v>35314.020833333343</v>
      </c>
      <c r="I184" t="s">
        <v>61</v>
      </c>
      <c r="L184">
        <v>4.7</v>
      </c>
      <c r="M184">
        <v>15.3</v>
      </c>
      <c r="N184">
        <v>0.18279999999999319</v>
      </c>
      <c r="O184">
        <v>33.992199999999997</v>
      </c>
      <c r="P184">
        <v>-77.909400000000005</v>
      </c>
      <c r="T184" t="s">
        <v>26</v>
      </c>
    </row>
    <row r="185" spans="1:21">
      <c r="A185" t="s">
        <v>740</v>
      </c>
      <c r="B185" t="s">
        <v>741</v>
      </c>
      <c r="C185" t="s">
        <v>742</v>
      </c>
      <c r="D185">
        <v>1996</v>
      </c>
      <c r="E185" t="s">
        <v>37</v>
      </c>
      <c r="F185">
        <v>30</v>
      </c>
      <c r="G185">
        <v>-83.9</v>
      </c>
      <c r="H185" s="2">
        <v>35346.145833333343</v>
      </c>
      <c r="I185" t="s">
        <v>180</v>
      </c>
      <c r="L185">
        <v>2.8346399999999998</v>
      </c>
      <c r="M185">
        <v>9.3000000000000007</v>
      </c>
      <c r="N185">
        <v>1.4337000000000091</v>
      </c>
      <c r="O185">
        <v>29.322600000000001</v>
      </c>
      <c r="P185">
        <v>-83.143699999999995</v>
      </c>
      <c r="Q185" s="2">
        <v>35342</v>
      </c>
      <c r="R185" s="2">
        <v>35346</v>
      </c>
      <c r="S185" t="s">
        <v>743</v>
      </c>
      <c r="T185" t="s">
        <v>26</v>
      </c>
    </row>
    <row r="186" spans="1:21">
      <c r="A186" t="s">
        <v>744</v>
      </c>
      <c r="B186" t="s">
        <v>745</v>
      </c>
      <c r="C186" t="s">
        <v>607</v>
      </c>
      <c r="D186">
        <v>1997</v>
      </c>
      <c r="E186" t="s">
        <v>31</v>
      </c>
      <c r="F186">
        <v>30.391683333333329</v>
      </c>
      <c r="G186">
        <v>-87.874983333333333</v>
      </c>
      <c r="H186" s="2">
        <v>35630.770833333343</v>
      </c>
      <c r="I186" t="s">
        <v>180</v>
      </c>
      <c r="L186">
        <v>1.9933000000000001</v>
      </c>
      <c r="M186">
        <v>6.54</v>
      </c>
      <c r="N186">
        <v>0.1881666666666604</v>
      </c>
      <c r="O186">
        <v>30.228999999999999</v>
      </c>
      <c r="P186">
        <v>-87.849500000000006</v>
      </c>
      <c r="Q186" s="2">
        <v>35627</v>
      </c>
      <c r="R186" s="2">
        <v>35638</v>
      </c>
      <c r="S186" t="s">
        <v>746</v>
      </c>
      <c r="T186" t="s">
        <v>26</v>
      </c>
    </row>
    <row r="187" spans="1:21">
      <c r="A187" t="s">
        <v>747</v>
      </c>
      <c r="B187" t="s">
        <v>748</v>
      </c>
      <c r="C187" t="s">
        <v>632</v>
      </c>
      <c r="D187">
        <v>1998</v>
      </c>
      <c r="E187" t="s">
        <v>24</v>
      </c>
      <c r="F187">
        <v>27.824999999999999</v>
      </c>
      <c r="G187">
        <v>-97.174999999999997</v>
      </c>
      <c r="H187" s="2">
        <v>36029.4375</v>
      </c>
      <c r="J187">
        <v>1.0668</v>
      </c>
      <c r="K187">
        <v>3.5</v>
      </c>
      <c r="N187">
        <v>0.93249999999999389</v>
      </c>
      <c r="O187">
        <v>28.220500000000001</v>
      </c>
      <c r="P187">
        <v>-96.638000000000005</v>
      </c>
      <c r="Q187" s="2">
        <v>36028</v>
      </c>
      <c r="R187" s="2">
        <v>36031</v>
      </c>
      <c r="S187" t="s">
        <v>749</v>
      </c>
      <c r="T187" t="s">
        <v>326</v>
      </c>
    </row>
    <row r="188" spans="1:21">
      <c r="A188" t="s">
        <v>750</v>
      </c>
      <c r="B188" t="s">
        <v>751</v>
      </c>
      <c r="C188" t="s">
        <v>628</v>
      </c>
      <c r="D188">
        <v>1998</v>
      </c>
      <c r="E188" t="s">
        <v>81</v>
      </c>
      <c r="F188">
        <v>34.320099999999996</v>
      </c>
      <c r="G188">
        <v>-77.738299999999995</v>
      </c>
      <c r="H188" s="2">
        <v>36034.125</v>
      </c>
      <c r="I188" t="s">
        <v>61</v>
      </c>
      <c r="L188">
        <v>4.2</v>
      </c>
      <c r="M188">
        <v>13.8</v>
      </c>
      <c r="N188">
        <v>0.52259999999999707</v>
      </c>
      <c r="O188">
        <v>33.9739</v>
      </c>
      <c r="P188">
        <v>-77.914699999999996</v>
      </c>
      <c r="T188" t="s">
        <v>26</v>
      </c>
    </row>
    <row r="189" spans="1:21">
      <c r="A189" t="s">
        <v>752</v>
      </c>
      <c r="B189" t="s">
        <v>753</v>
      </c>
      <c r="C189" t="s">
        <v>754</v>
      </c>
      <c r="D189">
        <v>1998</v>
      </c>
      <c r="E189" t="s">
        <v>37</v>
      </c>
      <c r="F189">
        <v>30.1</v>
      </c>
      <c r="G189">
        <v>-85.7</v>
      </c>
      <c r="H189" s="2">
        <v>36041.25</v>
      </c>
      <c r="J189">
        <v>2.4384000000000001</v>
      </c>
      <c r="K189">
        <v>8</v>
      </c>
      <c r="N189">
        <v>1.2942000000000109</v>
      </c>
      <c r="O189">
        <v>29.844999999999999</v>
      </c>
      <c r="P189">
        <v>-84.660799999999995</v>
      </c>
      <c r="Q189" s="2">
        <v>36038</v>
      </c>
      <c r="R189" s="2">
        <v>36046</v>
      </c>
      <c r="S189" t="s">
        <v>755</v>
      </c>
      <c r="T189" t="s">
        <v>326</v>
      </c>
      <c r="U189" t="s">
        <v>756</v>
      </c>
    </row>
    <row r="190" spans="1:21">
      <c r="A190" t="s">
        <v>757</v>
      </c>
      <c r="B190" t="s">
        <v>758</v>
      </c>
      <c r="C190" t="s">
        <v>759</v>
      </c>
      <c r="D190">
        <v>1998</v>
      </c>
      <c r="E190" t="s">
        <v>24</v>
      </c>
      <c r="F190">
        <v>28.227900000000002</v>
      </c>
      <c r="G190">
        <v>-96.978450000000009</v>
      </c>
      <c r="H190" s="2">
        <v>36049.270833333343</v>
      </c>
      <c r="I190" t="s">
        <v>180</v>
      </c>
      <c r="L190">
        <v>2.4384000000000001</v>
      </c>
      <c r="M190">
        <v>8</v>
      </c>
      <c r="N190">
        <v>1.4609500000000111</v>
      </c>
      <c r="O190">
        <v>28.683399999999999</v>
      </c>
      <c r="P190">
        <v>-95.972999999999999</v>
      </c>
      <c r="Q190" s="2">
        <v>36046</v>
      </c>
      <c r="R190" s="2">
        <v>36051</v>
      </c>
      <c r="S190" t="s">
        <v>760</v>
      </c>
      <c r="T190" t="s">
        <v>26</v>
      </c>
    </row>
    <row r="191" spans="1:21">
      <c r="A191" t="s">
        <v>761</v>
      </c>
      <c r="B191" t="s">
        <v>762</v>
      </c>
      <c r="C191" t="s">
        <v>763</v>
      </c>
      <c r="D191">
        <v>1998</v>
      </c>
      <c r="E191" t="s">
        <v>37</v>
      </c>
      <c r="F191">
        <v>24.438300000000002</v>
      </c>
      <c r="G191">
        <v>-81.709400000000002</v>
      </c>
      <c r="H191" s="2">
        <v>36063.625</v>
      </c>
      <c r="L191">
        <v>2.2999999999999998</v>
      </c>
      <c r="M191">
        <v>7.55</v>
      </c>
      <c r="N191">
        <v>0.14579999999999421</v>
      </c>
      <c r="O191">
        <v>24.5594</v>
      </c>
      <c r="P191">
        <v>-81.684700000000007</v>
      </c>
      <c r="Q191" s="2">
        <v>36053</v>
      </c>
      <c r="R191" s="2">
        <v>36069</v>
      </c>
      <c r="S191" t="s">
        <v>764</v>
      </c>
      <c r="T191" t="s">
        <v>26</v>
      </c>
    </row>
    <row r="192" spans="1:21">
      <c r="A192" t="s">
        <v>765</v>
      </c>
      <c r="B192" t="s">
        <v>762</v>
      </c>
      <c r="C192" t="s">
        <v>763</v>
      </c>
      <c r="D192">
        <v>1998</v>
      </c>
      <c r="E192" t="s">
        <v>45</v>
      </c>
      <c r="F192">
        <v>30.4</v>
      </c>
      <c r="G192">
        <v>-88.9</v>
      </c>
      <c r="H192" s="2">
        <v>36066.479166666657</v>
      </c>
      <c r="L192">
        <v>3.7</v>
      </c>
      <c r="M192">
        <v>12.14</v>
      </c>
      <c r="N192">
        <v>8.259999999998513E-2</v>
      </c>
      <c r="O192">
        <v>30.391100000000002</v>
      </c>
      <c r="P192">
        <v>-88.973699999999994</v>
      </c>
      <c r="Q192" s="2">
        <v>36053</v>
      </c>
      <c r="R192" s="2">
        <v>36069</v>
      </c>
      <c r="S192" t="s">
        <v>764</v>
      </c>
      <c r="T192" t="s">
        <v>26</v>
      </c>
    </row>
    <row r="193" spans="1:21">
      <c r="A193" t="s">
        <v>766</v>
      </c>
      <c r="B193" t="s">
        <v>767</v>
      </c>
      <c r="C193" t="s">
        <v>768</v>
      </c>
      <c r="D193">
        <v>1998</v>
      </c>
      <c r="E193" t="s">
        <v>37</v>
      </c>
      <c r="F193">
        <v>26.2</v>
      </c>
      <c r="G193">
        <v>-81.900000000000006</v>
      </c>
      <c r="H193" s="2">
        <v>36104.458333333343</v>
      </c>
      <c r="I193" t="s">
        <v>180</v>
      </c>
      <c r="L193">
        <v>1.2192000000000001</v>
      </c>
      <c r="M193">
        <v>4</v>
      </c>
      <c r="N193">
        <v>1.8336000000000079</v>
      </c>
      <c r="O193">
        <v>24.557200000000002</v>
      </c>
      <c r="P193">
        <v>-81.709199999999996</v>
      </c>
      <c r="Q193" s="2">
        <v>36090</v>
      </c>
      <c r="R193" s="2">
        <v>36108</v>
      </c>
      <c r="S193" t="s">
        <v>769</v>
      </c>
      <c r="T193" t="s">
        <v>26</v>
      </c>
    </row>
    <row r="194" spans="1:21">
      <c r="A194" t="s">
        <v>770</v>
      </c>
      <c r="B194" t="s">
        <v>771</v>
      </c>
      <c r="C194" t="s">
        <v>772</v>
      </c>
      <c r="D194">
        <v>1999</v>
      </c>
      <c r="E194" t="s">
        <v>24</v>
      </c>
      <c r="F194">
        <v>26.933266666666661</v>
      </c>
      <c r="G194">
        <v>-97.576800000000006</v>
      </c>
      <c r="H194" s="2">
        <v>36395.083333333343</v>
      </c>
      <c r="L194">
        <v>2.1335999999999999</v>
      </c>
      <c r="M194">
        <v>7</v>
      </c>
      <c r="N194">
        <v>0.67086666666667583</v>
      </c>
      <c r="O194">
        <v>26.562799999999999</v>
      </c>
      <c r="P194">
        <v>-97.276399999999995</v>
      </c>
      <c r="Q194" s="2">
        <v>36390</v>
      </c>
      <c r="R194" s="2">
        <v>36397</v>
      </c>
      <c r="S194" t="s">
        <v>773</v>
      </c>
      <c r="T194" t="s">
        <v>26</v>
      </c>
    </row>
    <row r="195" spans="1:21">
      <c r="A195" t="s">
        <v>774</v>
      </c>
      <c r="B195" t="s">
        <v>775</v>
      </c>
      <c r="C195" t="s">
        <v>577</v>
      </c>
      <c r="D195">
        <v>1999</v>
      </c>
      <c r="E195" t="s">
        <v>81</v>
      </c>
      <c r="F195">
        <v>34.799999999999997</v>
      </c>
      <c r="G195">
        <v>-76.5</v>
      </c>
      <c r="H195" s="2">
        <v>36407.875</v>
      </c>
      <c r="I195" t="s">
        <v>180</v>
      </c>
      <c r="L195">
        <v>2.41</v>
      </c>
      <c r="M195">
        <v>7.9068240000000003</v>
      </c>
      <c r="N195">
        <v>0.42350000000000421</v>
      </c>
      <c r="O195" s="25">
        <v>35.025632999999999</v>
      </c>
      <c r="P195">
        <v>-76.692700000000002</v>
      </c>
      <c r="Q195" s="2">
        <v>36396</v>
      </c>
      <c r="R195" s="2">
        <v>36411</v>
      </c>
      <c r="S195" t="s">
        <v>776</v>
      </c>
      <c r="T195" t="s">
        <v>26</v>
      </c>
      <c r="U195" t="s">
        <v>777</v>
      </c>
    </row>
    <row r="196" spans="1:21">
      <c r="A196" t="s">
        <v>778</v>
      </c>
      <c r="B196" t="s">
        <v>779</v>
      </c>
      <c r="C196" t="s">
        <v>640</v>
      </c>
      <c r="D196">
        <v>1999</v>
      </c>
      <c r="E196" t="s">
        <v>81</v>
      </c>
      <c r="F196">
        <v>34.238959999999999</v>
      </c>
      <c r="G196">
        <v>-77.78886</v>
      </c>
      <c r="H196" s="2">
        <v>36419.333333333343</v>
      </c>
      <c r="J196">
        <v>2.04</v>
      </c>
      <c r="K196">
        <v>6.69</v>
      </c>
      <c r="L196">
        <v>3.27</v>
      </c>
      <c r="M196">
        <v>10.73</v>
      </c>
      <c r="N196">
        <v>0.69459999999999411</v>
      </c>
      <c r="O196">
        <v>33.9163</v>
      </c>
      <c r="P196">
        <v>-78.160799999999995</v>
      </c>
      <c r="Q196" s="2">
        <v>36410</v>
      </c>
      <c r="R196" s="2">
        <v>36422</v>
      </c>
      <c r="S196" t="s">
        <v>780</v>
      </c>
      <c r="T196" t="s">
        <v>26</v>
      </c>
    </row>
    <row r="197" spans="1:21">
      <c r="A197" t="s">
        <v>781</v>
      </c>
      <c r="B197" t="s">
        <v>782</v>
      </c>
      <c r="C197" t="s">
        <v>783</v>
      </c>
      <c r="D197">
        <v>1999</v>
      </c>
      <c r="E197" t="s">
        <v>37</v>
      </c>
      <c r="F197">
        <v>25.9</v>
      </c>
      <c r="G197">
        <v>-81.599999999999994</v>
      </c>
      <c r="H197" s="2">
        <v>36424.729166666657</v>
      </c>
      <c r="I197" t="s">
        <v>180</v>
      </c>
      <c r="L197">
        <v>0.76200000000000001</v>
      </c>
      <c r="M197">
        <v>2.5</v>
      </c>
      <c r="N197">
        <v>1.4410000000000029</v>
      </c>
      <c r="O197">
        <v>26.877800000000001</v>
      </c>
      <c r="P197">
        <v>-82.063199999999995</v>
      </c>
      <c r="Q197" s="2">
        <v>36422</v>
      </c>
      <c r="R197" s="2">
        <v>36425</v>
      </c>
      <c r="S197" t="s">
        <v>784</v>
      </c>
      <c r="T197" t="s">
        <v>26</v>
      </c>
    </row>
    <row r="198" spans="1:21">
      <c r="A198" t="s">
        <v>785</v>
      </c>
      <c r="B198" t="s">
        <v>786</v>
      </c>
      <c r="C198" t="s">
        <v>787</v>
      </c>
      <c r="D198">
        <v>1999</v>
      </c>
      <c r="E198" t="s">
        <v>37</v>
      </c>
      <c r="F198">
        <v>25.3</v>
      </c>
      <c r="G198">
        <v>-81.099999999999994</v>
      </c>
      <c r="H198" s="2">
        <v>36448.833333333343</v>
      </c>
      <c r="I198" s="19"/>
      <c r="J198">
        <v>0.6</v>
      </c>
      <c r="K198">
        <v>1.97</v>
      </c>
      <c r="N198">
        <v>0.59330000000000993</v>
      </c>
      <c r="O198">
        <v>24.7117</v>
      </c>
      <c r="P198">
        <v>-81.105000000000004</v>
      </c>
      <c r="Q198" s="2">
        <v>36445</v>
      </c>
      <c r="R198" s="2">
        <v>36452</v>
      </c>
      <c r="S198" t="s">
        <v>788</v>
      </c>
      <c r="T198" t="s">
        <v>326</v>
      </c>
      <c r="U198" t="s">
        <v>707</v>
      </c>
    </row>
    <row r="199" spans="1:21">
      <c r="A199" t="s">
        <v>789</v>
      </c>
      <c r="B199" t="s">
        <v>790</v>
      </c>
      <c r="C199" t="s">
        <v>710</v>
      </c>
      <c r="D199">
        <v>2000</v>
      </c>
      <c r="E199" t="s">
        <v>37</v>
      </c>
      <c r="F199">
        <v>29.383333333333329</v>
      </c>
      <c r="G199">
        <v>-83.166666666666671</v>
      </c>
      <c r="H199" s="2">
        <v>36787.145833333343</v>
      </c>
      <c r="I199" s="19"/>
      <c r="J199">
        <v>1.52</v>
      </c>
      <c r="K199">
        <v>5</v>
      </c>
      <c r="N199">
        <v>1.78240000000001</v>
      </c>
      <c r="O199">
        <v>27.923200000000001</v>
      </c>
      <c r="P199">
        <v>-82.844399999999993</v>
      </c>
      <c r="Q199" s="2">
        <v>36783</v>
      </c>
      <c r="R199" s="2">
        <v>36790</v>
      </c>
      <c r="S199" t="s">
        <v>791</v>
      </c>
      <c r="T199" t="s">
        <v>326</v>
      </c>
      <c r="U199" t="s">
        <v>707</v>
      </c>
    </row>
    <row r="200" spans="1:21">
      <c r="A200" t="s">
        <v>792</v>
      </c>
      <c r="B200" t="s">
        <v>793</v>
      </c>
      <c r="C200" t="s">
        <v>371</v>
      </c>
      <c r="D200">
        <v>2000</v>
      </c>
      <c r="E200" t="s">
        <v>37</v>
      </c>
      <c r="F200">
        <v>30.41661666666667</v>
      </c>
      <c r="G200">
        <v>-86.66491666666667</v>
      </c>
      <c r="H200" s="2">
        <v>36791.479166666657</v>
      </c>
      <c r="I200" s="19"/>
      <c r="J200">
        <v>0.30480000000000002</v>
      </c>
      <c r="K200">
        <v>1</v>
      </c>
      <c r="N200">
        <v>0.21383333333333709</v>
      </c>
      <c r="O200">
        <v>30.396799999999999</v>
      </c>
      <c r="P200">
        <v>-86.4709</v>
      </c>
      <c r="Q200" s="2">
        <v>36784</v>
      </c>
      <c r="R200" s="2">
        <v>36794</v>
      </c>
      <c r="S200" t="s">
        <v>794</v>
      </c>
      <c r="T200" t="s">
        <v>326</v>
      </c>
      <c r="U200" t="s">
        <v>707</v>
      </c>
    </row>
    <row r="201" spans="1:21">
      <c r="A201" t="s">
        <v>795</v>
      </c>
      <c r="B201" t="s">
        <v>796</v>
      </c>
      <c r="C201" t="s">
        <v>664</v>
      </c>
      <c r="D201">
        <v>2001</v>
      </c>
      <c r="E201" t="s">
        <v>24</v>
      </c>
      <c r="F201">
        <v>28.966666666666669</v>
      </c>
      <c r="G201">
        <v>-95.3</v>
      </c>
      <c r="H201" s="2">
        <v>37047.895833333343</v>
      </c>
      <c r="I201" s="19"/>
      <c r="J201">
        <v>0.91439999999999999</v>
      </c>
      <c r="K201">
        <v>3</v>
      </c>
      <c r="N201">
        <v>0.54293333333333393</v>
      </c>
      <c r="O201">
        <v>29.1813</v>
      </c>
      <c r="P201">
        <v>-94.971699999999998</v>
      </c>
      <c r="Q201" s="2">
        <v>37047</v>
      </c>
      <c r="R201" s="2">
        <v>37061</v>
      </c>
      <c r="S201" t="s">
        <v>797</v>
      </c>
      <c r="T201" t="s">
        <v>326</v>
      </c>
      <c r="U201" t="s">
        <v>707</v>
      </c>
    </row>
    <row r="202" spans="1:21">
      <c r="A202" t="s">
        <v>798</v>
      </c>
      <c r="B202" t="s">
        <v>799</v>
      </c>
      <c r="C202" t="s">
        <v>800</v>
      </c>
      <c r="D202">
        <v>2001</v>
      </c>
      <c r="E202" t="s">
        <v>37</v>
      </c>
      <c r="F202">
        <v>30.4</v>
      </c>
      <c r="G202">
        <v>-86.3</v>
      </c>
      <c r="H202" s="2">
        <v>37109.208333333343</v>
      </c>
      <c r="L202">
        <v>0.91439999999999999</v>
      </c>
      <c r="M202">
        <v>3</v>
      </c>
      <c r="N202">
        <v>0.1810999999999936</v>
      </c>
      <c r="O202">
        <v>30.3339</v>
      </c>
      <c r="P202">
        <v>-86.185000000000002</v>
      </c>
      <c r="Q202" s="2">
        <v>37105</v>
      </c>
      <c r="R202" s="2">
        <v>37111</v>
      </c>
      <c r="S202" t="s">
        <v>801</v>
      </c>
      <c r="T202" t="s">
        <v>26</v>
      </c>
    </row>
    <row r="203" spans="1:21">
      <c r="A203" t="s">
        <v>802</v>
      </c>
      <c r="B203" t="s">
        <v>803</v>
      </c>
      <c r="C203" t="s">
        <v>804</v>
      </c>
      <c r="D203">
        <v>2001</v>
      </c>
      <c r="E203" t="s">
        <v>37</v>
      </c>
      <c r="F203">
        <v>27.18373333333334</v>
      </c>
      <c r="G203">
        <v>-82.525783333333322</v>
      </c>
      <c r="H203" s="2">
        <v>37148.520833333343</v>
      </c>
      <c r="J203">
        <v>2</v>
      </c>
      <c r="K203">
        <v>6.56</v>
      </c>
      <c r="N203">
        <v>0.76851666666666318</v>
      </c>
      <c r="O203">
        <v>26.877800000000001</v>
      </c>
      <c r="P203">
        <v>-82.063199999999995</v>
      </c>
      <c r="Q203" s="2">
        <v>37145</v>
      </c>
      <c r="R203" s="2">
        <v>37155</v>
      </c>
      <c r="S203" t="s">
        <v>805</v>
      </c>
      <c r="T203" t="s">
        <v>326</v>
      </c>
    </row>
    <row r="204" spans="1:21">
      <c r="A204" t="s">
        <v>806</v>
      </c>
      <c r="B204" t="s">
        <v>807</v>
      </c>
      <c r="C204" t="s">
        <v>808</v>
      </c>
      <c r="D204">
        <v>2002</v>
      </c>
      <c r="E204" t="s">
        <v>24</v>
      </c>
      <c r="F204">
        <v>28.6</v>
      </c>
      <c r="G204">
        <v>-96.4</v>
      </c>
      <c r="H204" s="2">
        <v>37506.395833333343</v>
      </c>
      <c r="J204">
        <v>0.91439999999999999</v>
      </c>
      <c r="K204">
        <v>3</v>
      </c>
      <c r="N204">
        <v>1.1322000000000121</v>
      </c>
      <c r="O204">
        <v>28.830300000000001</v>
      </c>
      <c r="P204">
        <v>-95.498099999999994</v>
      </c>
      <c r="Q204" s="2">
        <v>37504</v>
      </c>
      <c r="R204" s="2">
        <v>37510</v>
      </c>
      <c r="S204" t="s">
        <v>809</v>
      </c>
      <c r="T204" t="s">
        <v>326</v>
      </c>
    </row>
    <row r="205" spans="1:21">
      <c r="A205" t="s">
        <v>810</v>
      </c>
      <c r="B205" t="s">
        <v>811</v>
      </c>
      <c r="C205" t="s">
        <v>812</v>
      </c>
      <c r="D205">
        <v>2002</v>
      </c>
      <c r="E205" t="s">
        <v>81</v>
      </c>
      <c r="F205">
        <v>35.249200000000002</v>
      </c>
      <c r="G205">
        <v>-75.175200000000004</v>
      </c>
      <c r="H205" s="2">
        <v>37509.875</v>
      </c>
      <c r="J205">
        <v>1.68</v>
      </c>
      <c r="K205">
        <v>5.5118109999999998</v>
      </c>
      <c r="N205">
        <v>0.61549999999999017</v>
      </c>
      <c r="O205">
        <v>35.575499999999998</v>
      </c>
      <c r="P205">
        <v>-75.464399999999998</v>
      </c>
      <c r="Q205" s="2">
        <v>37507</v>
      </c>
      <c r="R205" s="2">
        <v>37514</v>
      </c>
      <c r="S205" t="s">
        <v>813</v>
      </c>
      <c r="T205" t="s">
        <v>326</v>
      </c>
      <c r="U205" t="s">
        <v>814</v>
      </c>
    </row>
    <row r="206" spans="1:21">
      <c r="A206" t="s">
        <v>815</v>
      </c>
      <c r="B206" t="s">
        <v>816</v>
      </c>
      <c r="C206" t="s">
        <v>817</v>
      </c>
      <c r="D206">
        <v>2002</v>
      </c>
      <c r="E206" t="s">
        <v>45</v>
      </c>
      <c r="F206">
        <v>30.333333333333329</v>
      </c>
      <c r="G206">
        <v>-88.466666666666669</v>
      </c>
      <c r="H206" s="2">
        <v>37513.604166666657</v>
      </c>
      <c r="I206" t="s">
        <v>180</v>
      </c>
      <c r="L206">
        <v>1.55</v>
      </c>
      <c r="M206">
        <v>5.0999999999999996</v>
      </c>
      <c r="N206">
        <v>0.6541999999999959</v>
      </c>
      <c r="O206">
        <v>30.3614</v>
      </c>
      <c r="P206">
        <v>-89.092799999999997</v>
      </c>
      <c r="Q206" s="2">
        <v>37511</v>
      </c>
      <c r="R206" s="2">
        <v>37514</v>
      </c>
      <c r="S206" t="s">
        <v>818</v>
      </c>
      <c r="T206" t="s">
        <v>26</v>
      </c>
    </row>
    <row r="207" spans="1:21">
      <c r="A207" t="s">
        <v>819</v>
      </c>
      <c r="B207" t="s">
        <v>820</v>
      </c>
      <c r="C207" t="s">
        <v>599</v>
      </c>
      <c r="D207">
        <v>2002</v>
      </c>
      <c r="E207" t="s">
        <v>31</v>
      </c>
      <c r="F207">
        <v>29.23503333333333</v>
      </c>
      <c r="G207">
        <v>-90.235866666666666</v>
      </c>
      <c r="H207" s="2">
        <v>37525.291666666657</v>
      </c>
      <c r="I207" s="19"/>
      <c r="J207">
        <v>2.5299999999999998</v>
      </c>
      <c r="K207">
        <v>8.3000000000000007</v>
      </c>
      <c r="N207">
        <v>1.446733333333331</v>
      </c>
      <c r="O207">
        <v>30.173300000000001</v>
      </c>
      <c r="P207">
        <v>-89.727400000000003</v>
      </c>
      <c r="Q207" s="2">
        <v>37513</v>
      </c>
      <c r="R207" s="2">
        <v>37526</v>
      </c>
      <c r="S207" t="s">
        <v>821</v>
      </c>
      <c r="T207" t="s">
        <v>326</v>
      </c>
      <c r="U207" t="s">
        <v>707</v>
      </c>
    </row>
    <row r="208" spans="1:21">
      <c r="A208" t="s">
        <v>822</v>
      </c>
      <c r="B208" t="s">
        <v>823</v>
      </c>
      <c r="C208" t="s">
        <v>824</v>
      </c>
      <c r="D208">
        <v>2002</v>
      </c>
      <c r="E208" t="s">
        <v>31</v>
      </c>
      <c r="F208">
        <v>29.615849999999998</v>
      </c>
      <c r="G208">
        <v>-92.235624999999999</v>
      </c>
      <c r="H208" s="2">
        <v>37532.5625</v>
      </c>
      <c r="I208" t="s">
        <v>180</v>
      </c>
      <c r="L208">
        <v>3.7490399999999999</v>
      </c>
      <c r="M208">
        <v>12.3</v>
      </c>
      <c r="N208">
        <v>0.85667500000000629</v>
      </c>
      <c r="O208">
        <v>29.574200000000001</v>
      </c>
      <c r="P208">
        <v>-91.420599999999993</v>
      </c>
      <c r="Q208" s="2">
        <v>37520</v>
      </c>
      <c r="R208" s="2">
        <v>37533</v>
      </c>
      <c r="S208" t="s">
        <v>825</v>
      </c>
      <c r="T208" t="s">
        <v>26</v>
      </c>
    </row>
    <row r="209" spans="1:21">
      <c r="A209" t="s">
        <v>826</v>
      </c>
      <c r="B209" t="s">
        <v>827</v>
      </c>
      <c r="C209" t="s">
        <v>828</v>
      </c>
      <c r="D209">
        <v>2002</v>
      </c>
      <c r="E209" t="s">
        <v>75</v>
      </c>
      <c r="F209">
        <v>32.652299999999997</v>
      </c>
      <c r="G209">
        <v>-79.876725000000008</v>
      </c>
      <c r="H209" s="2">
        <v>37540.645833333343</v>
      </c>
      <c r="J209">
        <v>0.6</v>
      </c>
      <c r="K209">
        <v>1.9684999999999999</v>
      </c>
      <c r="N209">
        <v>1.643974999999998</v>
      </c>
      <c r="O209">
        <v>32.033299999999997</v>
      </c>
      <c r="P209">
        <v>-80.901700000000005</v>
      </c>
      <c r="Q209" s="2">
        <v>37519</v>
      </c>
      <c r="R209" s="2">
        <v>37541</v>
      </c>
      <c r="S209" t="s">
        <v>829</v>
      </c>
      <c r="T209" t="s">
        <v>326</v>
      </c>
    </row>
    <row r="210" spans="1:21">
      <c r="A210" t="s">
        <v>830</v>
      </c>
      <c r="B210" t="s">
        <v>831</v>
      </c>
      <c r="C210" t="s">
        <v>832</v>
      </c>
      <c r="D210">
        <v>2003</v>
      </c>
      <c r="E210" t="s">
        <v>31</v>
      </c>
      <c r="F210">
        <v>29.2</v>
      </c>
      <c r="G210">
        <v>-91</v>
      </c>
      <c r="H210" s="2">
        <v>37802.770833333343</v>
      </c>
      <c r="I210" s="19"/>
      <c r="J210">
        <v>1.6885920000000001</v>
      </c>
      <c r="K210">
        <v>5.54</v>
      </c>
      <c r="N210">
        <v>1.9461999999999899</v>
      </c>
      <c r="O210">
        <v>30.003799999999998</v>
      </c>
      <c r="P210">
        <v>-89.857600000000005</v>
      </c>
      <c r="Q210" s="2">
        <v>37800</v>
      </c>
      <c r="R210" s="2">
        <v>37805</v>
      </c>
      <c r="S210" t="s">
        <v>833</v>
      </c>
      <c r="T210" t="s">
        <v>326</v>
      </c>
    </row>
    <row r="211" spans="1:21">
      <c r="A211" t="s">
        <v>834</v>
      </c>
      <c r="B211" t="s">
        <v>835</v>
      </c>
      <c r="C211" t="s">
        <v>554</v>
      </c>
      <c r="D211">
        <v>2003</v>
      </c>
      <c r="E211" t="s">
        <v>24</v>
      </c>
      <c r="F211">
        <v>28.42</v>
      </c>
      <c r="G211">
        <v>-96.48</v>
      </c>
      <c r="H211" s="2">
        <v>37817.6875</v>
      </c>
      <c r="I211" t="s">
        <v>180</v>
      </c>
      <c r="L211">
        <v>2.7889200000000001</v>
      </c>
      <c r="M211">
        <v>9.15</v>
      </c>
      <c r="N211">
        <v>1.5942000000000041</v>
      </c>
      <c r="O211">
        <v>28.921099999999999</v>
      </c>
      <c r="P211">
        <v>-95.386899999999997</v>
      </c>
      <c r="Q211" s="2">
        <v>37809</v>
      </c>
      <c r="R211" s="2">
        <v>37819</v>
      </c>
      <c r="S211" t="s">
        <v>836</v>
      </c>
      <c r="T211" t="s">
        <v>26</v>
      </c>
      <c r="U211" t="s">
        <v>707</v>
      </c>
    </row>
    <row r="212" spans="1:21">
      <c r="A212" t="s">
        <v>837</v>
      </c>
      <c r="B212" t="s">
        <v>838</v>
      </c>
      <c r="C212" t="s">
        <v>839</v>
      </c>
      <c r="D212">
        <v>2003</v>
      </c>
      <c r="E212" t="s">
        <v>81</v>
      </c>
      <c r="F212">
        <v>35</v>
      </c>
      <c r="G212">
        <v>-76.300000000000011</v>
      </c>
      <c r="H212" s="2">
        <v>37882.729166666657</v>
      </c>
      <c r="J212">
        <v>4.9400000000000004</v>
      </c>
      <c r="K212">
        <v>16.2</v>
      </c>
      <c r="N212">
        <v>1.6700000000000159</v>
      </c>
      <c r="O212">
        <v>36.046700000000001</v>
      </c>
      <c r="P212">
        <v>-75.676699999999997</v>
      </c>
      <c r="Q212" s="2">
        <v>1364</v>
      </c>
      <c r="R212" s="2">
        <v>1364</v>
      </c>
      <c r="S212" t="s">
        <v>840</v>
      </c>
      <c r="T212" t="s">
        <v>326</v>
      </c>
    </row>
    <row r="213" spans="1:21">
      <c r="A213" t="s">
        <v>841</v>
      </c>
      <c r="B213" t="s">
        <v>842</v>
      </c>
      <c r="C213" t="s">
        <v>843</v>
      </c>
      <c r="D213">
        <v>2004</v>
      </c>
      <c r="E213" t="s">
        <v>81</v>
      </c>
      <c r="F213">
        <v>34.591333333333331</v>
      </c>
      <c r="G213">
        <v>-76.024799999999999</v>
      </c>
      <c r="H213" s="2">
        <v>38202.583333333343</v>
      </c>
      <c r="J213">
        <v>1.83</v>
      </c>
      <c r="K213">
        <v>6.0039370078740157</v>
      </c>
      <c r="N213">
        <v>1.159866666666673</v>
      </c>
      <c r="O213">
        <v>35.268599999999999</v>
      </c>
      <c r="P213">
        <v>-75.542199999999994</v>
      </c>
      <c r="Q213" s="2">
        <v>38199</v>
      </c>
      <c r="R213" s="2">
        <v>38205</v>
      </c>
      <c r="S213" t="s">
        <v>844</v>
      </c>
      <c r="T213" t="s">
        <v>326</v>
      </c>
      <c r="U213" t="s">
        <v>845</v>
      </c>
    </row>
    <row r="214" spans="1:21">
      <c r="A214" t="s">
        <v>846</v>
      </c>
      <c r="B214" t="s">
        <v>847</v>
      </c>
      <c r="C214" t="s">
        <v>632</v>
      </c>
      <c r="D214">
        <v>2004</v>
      </c>
      <c r="E214" t="s">
        <v>37</v>
      </c>
      <c r="F214">
        <v>26.9815</v>
      </c>
      <c r="G214">
        <v>-82.070099999999996</v>
      </c>
      <c r="H214" s="2">
        <v>38212.875</v>
      </c>
      <c r="I214" t="s">
        <v>180</v>
      </c>
      <c r="L214">
        <v>2.86</v>
      </c>
      <c r="M214">
        <v>9.4</v>
      </c>
      <c r="N214">
        <v>0.65139999999999176</v>
      </c>
      <c r="O214">
        <v>26.450600000000001</v>
      </c>
      <c r="P214">
        <v>-81.949600000000004</v>
      </c>
      <c r="Q214" s="2">
        <v>38208</v>
      </c>
      <c r="R214" s="2">
        <v>38214</v>
      </c>
      <c r="S214" t="s">
        <v>848</v>
      </c>
      <c r="T214" t="s">
        <v>26</v>
      </c>
    </row>
    <row r="215" spans="1:21">
      <c r="A215" t="s">
        <v>849</v>
      </c>
      <c r="B215" t="s">
        <v>847</v>
      </c>
      <c r="C215" t="s">
        <v>632</v>
      </c>
      <c r="D215">
        <v>2004</v>
      </c>
      <c r="E215" t="s">
        <v>75</v>
      </c>
      <c r="F215">
        <v>33</v>
      </c>
      <c r="G215">
        <v>-79.400000000000006</v>
      </c>
      <c r="H215" s="2">
        <v>38213.583333333343</v>
      </c>
      <c r="I215" t="s">
        <v>180</v>
      </c>
      <c r="J215">
        <f>0.3048*6</f>
        <v>1.8288000000000002</v>
      </c>
      <c r="K215">
        <v>6</v>
      </c>
      <c r="L215">
        <f>0.3048*M215</f>
        <v>2.1915120000000003</v>
      </c>
      <c r="M215">
        <v>7.19</v>
      </c>
      <c r="N215" s="7">
        <f>ABS(F215-O215)+ABS(G215-P215)</f>
        <v>1.2115960000000001</v>
      </c>
      <c r="O215" s="25">
        <v>33.688890000000001</v>
      </c>
      <c r="P215">
        <v>-78.877294000000006</v>
      </c>
      <c r="Q215" s="2">
        <v>38208</v>
      </c>
      <c r="R215" s="2">
        <v>38214</v>
      </c>
      <c r="S215" t="s">
        <v>850</v>
      </c>
      <c r="T215" t="s">
        <v>26</v>
      </c>
      <c r="U215" t="s">
        <v>851</v>
      </c>
    </row>
    <row r="216" spans="1:21">
      <c r="A216" t="s">
        <v>852</v>
      </c>
      <c r="B216" t="s">
        <v>853</v>
      </c>
      <c r="C216" t="s">
        <v>854</v>
      </c>
      <c r="D216">
        <v>2004</v>
      </c>
      <c r="E216" t="s">
        <v>75</v>
      </c>
      <c r="F216">
        <v>33</v>
      </c>
      <c r="G216">
        <v>-79.599999999999994</v>
      </c>
      <c r="H216" s="2">
        <v>38228.583333333343</v>
      </c>
      <c r="I216" t="s">
        <v>193</v>
      </c>
      <c r="J216">
        <v>0.3</v>
      </c>
      <c r="K216">
        <v>1</v>
      </c>
      <c r="L216">
        <v>2.1</v>
      </c>
      <c r="M216">
        <v>7.3</v>
      </c>
      <c r="N216">
        <v>0.54330000000000211</v>
      </c>
      <c r="O216">
        <v>32.781700000000001</v>
      </c>
      <c r="P216">
        <v>-79.924999999999997</v>
      </c>
      <c r="Q216" s="2">
        <v>38226</v>
      </c>
      <c r="R216" s="2">
        <v>38231</v>
      </c>
      <c r="S216" t="s">
        <v>855</v>
      </c>
      <c r="T216" t="s">
        <v>26</v>
      </c>
    </row>
    <row r="217" spans="1:21">
      <c r="A217" t="s">
        <v>856</v>
      </c>
      <c r="B217" t="s">
        <v>857</v>
      </c>
      <c r="C217" t="s">
        <v>759</v>
      </c>
      <c r="D217">
        <v>2004</v>
      </c>
      <c r="E217" t="s">
        <v>37</v>
      </c>
      <c r="F217">
        <v>27.2</v>
      </c>
      <c r="G217">
        <v>-80.2</v>
      </c>
      <c r="H217" s="2">
        <v>38235.1875</v>
      </c>
      <c r="I217" t="s">
        <v>180</v>
      </c>
      <c r="J217">
        <v>1.3</v>
      </c>
      <c r="K217">
        <v>4.2650918635170596</v>
      </c>
      <c r="L217">
        <v>2.2000000000000002</v>
      </c>
      <c r="M217">
        <v>7.2178477690288716</v>
      </c>
      <c r="N217">
        <v>1.6067</v>
      </c>
      <c r="O217">
        <v>28.414999999999999</v>
      </c>
      <c r="P217">
        <v>-80.591700000000003</v>
      </c>
      <c r="Q217" s="2">
        <v>38224</v>
      </c>
      <c r="R217" s="2">
        <v>38240</v>
      </c>
      <c r="S217" t="s">
        <v>858</v>
      </c>
      <c r="T217" t="s">
        <v>26</v>
      </c>
      <c r="U217" t="s">
        <v>859</v>
      </c>
    </row>
    <row r="218" spans="1:21">
      <c r="A218" t="s">
        <v>860</v>
      </c>
      <c r="B218" t="s">
        <v>861</v>
      </c>
      <c r="C218" t="s">
        <v>862</v>
      </c>
      <c r="D218">
        <v>2004</v>
      </c>
      <c r="E218" t="s">
        <v>93</v>
      </c>
      <c r="F218">
        <v>30.360399999999998</v>
      </c>
      <c r="G218">
        <v>-87.874050000000011</v>
      </c>
      <c r="H218" s="2">
        <v>38246.3125</v>
      </c>
      <c r="J218">
        <v>4.57</v>
      </c>
      <c r="K218">
        <v>15</v>
      </c>
      <c r="N218">
        <v>0.1802499999999938</v>
      </c>
      <c r="O218">
        <v>30.232199999999999</v>
      </c>
      <c r="P218">
        <v>-87.926100000000005</v>
      </c>
      <c r="Q218" s="2">
        <v>38232</v>
      </c>
      <c r="R218" s="2">
        <v>38254</v>
      </c>
      <c r="S218" t="s">
        <v>863</v>
      </c>
      <c r="T218" t="s">
        <v>326</v>
      </c>
    </row>
    <row r="219" spans="1:21">
      <c r="A219" t="s">
        <v>864</v>
      </c>
      <c r="B219" t="s">
        <v>865</v>
      </c>
      <c r="C219" t="s">
        <v>866</v>
      </c>
      <c r="D219">
        <v>2004</v>
      </c>
      <c r="E219" t="s">
        <v>37</v>
      </c>
      <c r="F219">
        <v>27.225000000000001</v>
      </c>
      <c r="G219">
        <v>-80.3</v>
      </c>
      <c r="H219" s="2">
        <v>38256.1875</v>
      </c>
      <c r="J219">
        <v>1.83</v>
      </c>
      <c r="K219">
        <v>6.0039370078740157</v>
      </c>
      <c r="L219">
        <v>1.83</v>
      </c>
      <c r="M219">
        <v>6.0039370078740157</v>
      </c>
      <c r="N219">
        <v>1.1666000000000061</v>
      </c>
      <c r="O219">
        <v>28.083600000000001</v>
      </c>
      <c r="P219">
        <v>-80.608000000000004</v>
      </c>
      <c r="Q219" s="2">
        <v>38243</v>
      </c>
      <c r="R219" s="2">
        <v>38259</v>
      </c>
      <c r="S219" t="s">
        <v>867</v>
      </c>
      <c r="T219" t="s">
        <v>26</v>
      </c>
    </row>
    <row r="220" spans="1:21">
      <c r="A220" t="s">
        <v>868</v>
      </c>
      <c r="B220" t="s">
        <v>869</v>
      </c>
      <c r="C220" t="s">
        <v>428</v>
      </c>
      <c r="D220">
        <v>2005</v>
      </c>
      <c r="E220" t="s">
        <v>31</v>
      </c>
      <c r="F220">
        <v>29.2</v>
      </c>
      <c r="G220">
        <v>-90.1</v>
      </c>
      <c r="H220" s="2">
        <v>38539.125</v>
      </c>
      <c r="I220" s="19"/>
      <c r="J220">
        <v>1.68</v>
      </c>
      <c r="K220">
        <v>5.5</v>
      </c>
      <c r="N220">
        <v>0.98549999999999471</v>
      </c>
      <c r="O220">
        <v>29.923300000000001</v>
      </c>
      <c r="P220">
        <v>-89.837800000000001</v>
      </c>
      <c r="Q220" s="2">
        <v>38536</v>
      </c>
      <c r="R220" s="2">
        <v>38544</v>
      </c>
      <c r="S220" t="s">
        <v>870</v>
      </c>
      <c r="T220" t="s">
        <v>326</v>
      </c>
      <c r="U220" t="s">
        <v>707</v>
      </c>
    </row>
    <row r="221" spans="1:21">
      <c r="A221" t="s">
        <v>871</v>
      </c>
      <c r="B221" t="s">
        <v>872</v>
      </c>
      <c r="C221" t="s">
        <v>577</v>
      </c>
      <c r="D221">
        <v>2005</v>
      </c>
      <c r="E221" t="s">
        <v>37</v>
      </c>
      <c r="F221">
        <v>30.54226666666667</v>
      </c>
      <c r="G221">
        <v>-87.166766666666661</v>
      </c>
      <c r="H221" s="2">
        <v>38543.833333333343</v>
      </c>
      <c r="I221" t="s">
        <v>873</v>
      </c>
      <c r="L221">
        <v>3.2</v>
      </c>
      <c r="M221">
        <v>10.5</v>
      </c>
      <c r="N221">
        <v>1.0134333333333281</v>
      </c>
      <c r="O221">
        <v>30.369</v>
      </c>
      <c r="P221">
        <v>-86.326599999999999</v>
      </c>
      <c r="Q221" s="2">
        <v>38537</v>
      </c>
      <c r="R221" s="2">
        <v>38551</v>
      </c>
      <c r="S221" t="s">
        <v>874</v>
      </c>
      <c r="T221" t="s">
        <v>26</v>
      </c>
    </row>
    <row r="222" spans="1:21">
      <c r="A222" t="s">
        <v>875</v>
      </c>
      <c r="B222" t="s">
        <v>876</v>
      </c>
      <c r="C222" t="s">
        <v>877</v>
      </c>
      <c r="D222">
        <v>2005</v>
      </c>
      <c r="E222" t="s">
        <v>31</v>
      </c>
      <c r="F222">
        <v>29.38453333333333</v>
      </c>
      <c r="G222">
        <v>-89.602699999999999</v>
      </c>
      <c r="H222" s="2">
        <v>38593.479166666657</v>
      </c>
      <c r="J222">
        <v>10.4</v>
      </c>
      <c r="K222">
        <v>34.119999999999997</v>
      </c>
      <c r="N222">
        <v>1.7161666666666591</v>
      </c>
      <c r="O222">
        <v>30.3916</v>
      </c>
      <c r="P222">
        <v>-88.893600000000006</v>
      </c>
      <c r="Q222" s="2">
        <v>38587</v>
      </c>
      <c r="R222" s="2">
        <v>38595</v>
      </c>
      <c r="S222" t="s">
        <v>878</v>
      </c>
      <c r="T222" t="s">
        <v>326</v>
      </c>
    </row>
    <row r="223" spans="1:21">
      <c r="A223" t="s">
        <v>879</v>
      </c>
      <c r="B223" t="s">
        <v>880</v>
      </c>
      <c r="C223" t="s">
        <v>881</v>
      </c>
      <c r="D223">
        <v>2005</v>
      </c>
      <c r="E223" t="s">
        <v>81</v>
      </c>
      <c r="F223">
        <v>34.47625</v>
      </c>
      <c r="G223">
        <v>-76.348749999999995</v>
      </c>
      <c r="H223" s="2">
        <v>38610.229166666657</v>
      </c>
      <c r="I223" s="19"/>
      <c r="J223">
        <v>4.1900000000000004</v>
      </c>
      <c r="K223">
        <v>13.746719160104989</v>
      </c>
      <c r="N223">
        <v>1.7125000000000059</v>
      </c>
      <c r="O223">
        <v>34.21</v>
      </c>
      <c r="P223">
        <v>-77.795000000000002</v>
      </c>
      <c r="Q223" s="2">
        <v>38601</v>
      </c>
      <c r="R223" s="2">
        <v>38612</v>
      </c>
      <c r="S223" t="s">
        <v>882</v>
      </c>
      <c r="T223" t="s">
        <v>326</v>
      </c>
      <c r="U223" t="s">
        <v>707</v>
      </c>
    </row>
    <row r="224" spans="1:21">
      <c r="A224" t="s">
        <v>883</v>
      </c>
      <c r="B224" t="s">
        <v>884</v>
      </c>
      <c r="C224" t="s">
        <v>885</v>
      </c>
      <c r="D224">
        <v>2005</v>
      </c>
      <c r="E224" t="s">
        <v>31</v>
      </c>
      <c r="F224">
        <v>29.853333333333332</v>
      </c>
      <c r="G224">
        <v>-93.783166666666659</v>
      </c>
      <c r="H224" s="2">
        <v>38619.354166666657</v>
      </c>
      <c r="I224" t="s">
        <v>873</v>
      </c>
      <c r="L224">
        <v>5.4</v>
      </c>
      <c r="M224">
        <v>17.8</v>
      </c>
      <c r="N224">
        <v>0.66609999999998948</v>
      </c>
      <c r="O224">
        <v>29.7867</v>
      </c>
      <c r="P224">
        <v>-93.183700000000002</v>
      </c>
      <c r="Q224" s="2">
        <v>38613</v>
      </c>
      <c r="R224" s="2">
        <v>38621</v>
      </c>
      <c r="S224" t="s">
        <v>886</v>
      </c>
      <c r="T224" t="s">
        <v>26</v>
      </c>
    </row>
    <row r="225" spans="1:21">
      <c r="A225" t="s">
        <v>887</v>
      </c>
      <c r="B225" t="s">
        <v>888</v>
      </c>
      <c r="C225" t="s">
        <v>889</v>
      </c>
      <c r="D225">
        <v>2005</v>
      </c>
      <c r="E225" t="s">
        <v>37</v>
      </c>
      <c r="F225">
        <v>25.9</v>
      </c>
      <c r="G225">
        <v>-81.7</v>
      </c>
      <c r="H225" s="2">
        <v>38649.4375</v>
      </c>
      <c r="J225">
        <v>5</v>
      </c>
      <c r="K225">
        <v>16.399999999999999</v>
      </c>
      <c r="N225">
        <v>1.000399999999996</v>
      </c>
      <c r="O225">
        <v>25.443200000000001</v>
      </c>
      <c r="P225">
        <v>-81.156400000000005</v>
      </c>
      <c r="Q225" s="2">
        <v>38640</v>
      </c>
      <c r="R225" s="2">
        <v>38651</v>
      </c>
      <c r="S225" t="s">
        <v>890</v>
      </c>
      <c r="T225" t="s">
        <v>326</v>
      </c>
    </row>
    <row r="226" spans="1:21">
      <c r="A226" t="s">
        <v>891</v>
      </c>
      <c r="B226" t="s">
        <v>892</v>
      </c>
      <c r="C226" t="s">
        <v>893</v>
      </c>
      <c r="D226">
        <v>2006</v>
      </c>
      <c r="E226" t="s">
        <v>37</v>
      </c>
      <c r="F226">
        <v>25.2</v>
      </c>
      <c r="G226">
        <v>-80.7</v>
      </c>
      <c r="H226" s="2">
        <v>38959.208333333343</v>
      </c>
      <c r="I226" t="s">
        <v>180</v>
      </c>
      <c r="J226">
        <v>0.30480000000000002</v>
      </c>
      <c r="K226">
        <v>1</v>
      </c>
      <c r="L226">
        <v>0.94488000000000005</v>
      </c>
      <c r="M226">
        <v>3.1</v>
      </c>
      <c r="N226">
        <v>1.999999999999996</v>
      </c>
      <c r="O226">
        <v>26.1</v>
      </c>
      <c r="P226">
        <v>-81.8</v>
      </c>
      <c r="Q226" s="2">
        <v>38953</v>
      </c>
      <c r="R226" s="2">
        <v>38964</v>
      </c>
      <c r="S226" t="s">
        <v>894</v>
      </c>
      <c r="T226" t="s">
        <v>26</v>
      </c>
    </row>
    <row r="227" spans="1:21">
      <c r="A227" t="s">
        <v>895</v>
      </c>
      <c r="B227" t="s">
        <v>896</v>
      </c>
      <c r="C227" t="s">
        <v>897</v>
      </c>
      <c r="D227">
        <v>2007</v>
      </c>
      <c r="E227" t="s">
        <v>24</v>
      </c>
      <c r="F227">
        <v>29.55</v>
      </c>
      <c r="G227">
        <v>-94.35</v>
      </c>
      <c r="H227" s="2">
        <v>39338.270833333343</v>
      </c>
      <c r="I227" t="s">
        <v>180</v>
      </c>
      <c r="L227">
        <v>1.4843759999999999</v>
      </c>
      <c r="M227">
        <v>4.87</v>
      </c>
      <c r="N227">
        <v>0.64119999999999422</v>
      </c>
      <c r="O227">
        <v>29.678100000000001</v>
      </c>
      <c r="P227">
        <v>-93.8369</v>
      </c>
      <c r="Q227" s="2">
        <v>39337</v>
      </c>
      <c r="R227" s="2">
        <v>39339</v>
      </c>
      <c r="S227" t="s">
        <v>898</v>
      </c>
      <c r="T227" t="s">
        <v>26</v>
      </c>
    </row>
    <row r="228" spans="1:21">
      <c r="A228" t="s">
        <v>899</v>
      </c>
      <c r="B228" t="s">
        <v>900</v>
      </c>
      <c r="C228" t="s">
        <v>901</v>
      </c>
      <c r="D228">
        <v>2008</v>
      </c>
      <c r="E228" t="s">
        <v>24</v>
      </c>
      <c r="F228">
        <v>26.406700000000001</v>
      </c>
      <c r="G228">
        <v>-97.455100000000002</v>
      </c>
      <c r="H228" s="2">
        <v>39652.854166666657</v>
      </c>
      <c r="I228" t="s">
        <v>180</v>
      </c>
      <c r="J228">
        <v>1.22</v>
      </c>
      <c r="K228">
        <v>4</v>
      </c>
      <c r="L228">
        <v>1.52</v>
      </c>
      <c r="M228">
        <v>5</v>
      </c>
      <c r="N228">
        <v>0.17899999999999491</v>
      </c>
      <c r="O228">
        <v>26.555</v>
      </c>
      <c r="P228">
        <v>-97.424400000000006</v>
      </c>
      <c r="Q228" s="2">
        <v>39649</v>
      </c>
      <c r="R228" s="2">
        <v>39656</v>
      </c>
      <c r="S228" t="s">
        <v>902</v>
      </c>
      <c r="T228" t="s">
        <v>26</v>
      </c>
    </row>
    <row r="229" spans="1:21">
      <c r="A229" t="s">
        <v>903</v>
      </c>
      <c r="B229" t="s">
        <v>904</v>
      </c>
      <c r="C229" t="s">
        <v>808</v>
      </c>
      <c r="D229">
        <v>2008</v>
      </c>
      <c r="E229" t="s">
        <v>37</v>
      </c>
      <c r="F229">
        <v>25.938800000000001</v>
      </c>
      <c r="G229">
        <v>-81.583100000000002</v>
      </c>
      <c r="H229" s="2">
        <v>39679.375</v>
      </c>
      <c r="I229" s="19"/>
      <c r="J229">
        <v>1.52</v>
      </c>
      <c r="K229">
        <v>5</v>
      </c>
      <c r="N229">
        <v>0.28850000000000259</v>
      </c>
      <c r="O229">
        <v>25.845600000000001</v>
      </c>
      <c r="P229">
        <v>-81.387799999999999</v>
      </c>
      <c r="Q229" s="2">
        <v>39675</v>
      </c>
      <c r="R229" s="2">
        <v>39688</v>
      </c>
      <c r="S229" t="s">
        <v>905</v>
      </c>
      <c r="T229" t="s">
        <v>326</v>
      </c>
      <c r="U229" s="20" t="s">
        <v>906</v>
      </c>
    </row>
    <row r="230" spans="1:21">
      <c r="A230" t="s">
        <v>907</v>
      </c>
      <c r="B230" t="s">
        <v>908</v>
      </c>
      <c r="C230" t="s">
        <v>812</v>
      </c>
      <c r="D230">
        <v>2008</v>
      </c>
      <c r="E230" t="s">
        <v>31</v>
      </c>
      <c r="F230">
        <v>29.2</v>
      </c>
      <c r="G230">
        <v>-90.7</v>
      </c>
      <c r="H230" s="2">
        <v>39692.625</v>
      </c>
      <c r="I230" t="s">
        <v>873</v>
      </c>
      <c r="J230">
        <v>3.1089600000000002</v>
      </c>
      <c r="K230">
        <v>10.199999999999999</v>
      </c>
      <c r="L230">
        <v>4.4196</v>
      </c>
      <c r="M230">
        <v>14.5</v>
      </c>
      <c r="N230">
        <v>1.566700000000004</v>
      </c>
      <c r="O230">
        <v>30.0063</v>
      </c>
      <c r="P230">
        <v>-89.939599999999999</v>
      </c>
      <c r="Q230" s="2">
        <v>39685</v>
      </c>
      <c r="R230" s="2">
        <v>39696</v>
      </c>
      <c r="S230" t="s">
        <v>909</v>
      </c>
      <c r="T230" t="s">
        <v>26</v>
      </c>
    </row>
    <row r="231" spans="1:21">
      <c r="A231" t="s">
        <v>910</v>
      </c>
      <c r="B231" t="s">
        <v>911</v>
      </c>
      <c r="C231" t="s">
        <v>817</v>
      </c>
      <c r="D231">
        <v>2008</v>
      </c>
      <c r="E231" t="s">
        <v>75</v>
      </c>
      <c r="F231">
        <v>33.799999999999997</v>
      </c>
      <c r="G231">
        <v>-78.7</v>
      </c>
      <c r="H231" s="2">
        <v>39697.291666666657</v>
      </c>
      <c r="I231" t="s">
        <v>180</v>
      </c>
      <c r="J231">
        <v>1.52</v>
      </c>
      <c r="K231">
        <v>5</v>
      </c>
      <c r="L231">
        <v>2.06</v>
      </c>
      <c r="M231">
        <v>6.75</v>
      </c>
      <c r="N231">
        <v>1.180600000000013</v>
      </c>
      <c r="O231">
        <v>34.1429141233385</v>
      </c>
      <c r="P231">
        <v>-77.837710898576901</v>
      </c>
      <c r="Q231" s="2">
        <v>39688</v>
      </c>
      <c r="R231" s="2">
        <v>39699</v>
      </c>
      <c r="S231" t="s">
        <v>912</v>
      </c>
      <c r="T231" t="s">
        <v>26</v>
      </c>
      <c r="U231" t="s">
        <v>913</v>
      </c>
    </row>
    <row r="232" spans="1:21">
      <c r="A232" t="s">
        <v>914</v>
      </c>
      <c r="B232" t="s">
        <v>915</v>
      </c>
      <c r="C232" t="s">
        <v>916</v>
      </c>
      <c r="D232">
        <v>2008</v>
      </c>
      <c r="E232" t="s">
        <v>24</v>
      </c>
      <c r="F232">
        <v>29.692699999999999</v>
      </c>
      <c r="G232">
        <v>-94.918199999999999</v>
      </c>
      <c r="H232" s="2">
        <v>39704.375</v>
      </c>
      <c r="I232" t="s">
        <v>873</v>
      </c>
      <c r="L232">
        <v>5.91</v>
      </c>
      <c r="M232">
        <v>19.399999999999999</v>
      </c>
      <c r="N232">
        <v>0.66189999999999927</v>
      </c>
      <c r="O232">
        <v>29.557400000000001</v>
      </c>
      <c r="P232">
        <v>-94.391599999999997</v>
      </c>
      <c r="Q232" s="2">
        <v>39692</v>
      </c>
      <c r="R232" s="2">
        <v>39706</v>
      </c>
      <c r="S232" t="s">
        <v>917</v>
      </c>
      <c r="T232" t="s">
        <v>26</v>
      </c>
    </row>
    <row r="233" spans="1:21">
      <c r="A233" t="s">
        <v>918</v>
      </c>
      <c r="B233" t="s">
        <v>919</v>
      </c>
      <c r="C233" t="s">
        <v>843</v>
      </c>
      <c r="D233">
        <v>2010</v>
      </c>
      <c r="E233" t="s">
        <v>24</v>
      </c>
      <c r="F233">
        <v>24.2</v>
      </c>
      <c r="G233">
        <v>-97.7</v>
      </c>
      <c r="H233" s="2">
        <v>40360.083333333343</v>
      </c>
      <c r="I233" t="s">
        <v>61</v>
      </c>
      <c r="L233">
        <v>1.03</v>
      </c>
      <c r="M233">
        <v>3.38</v>
      </c>
      <c r="N233" s="7">
        <f>ABS(F233-O233)+ABS(G233-P233)</f>
        <v>2.3466999999999985</v>
      </c>
      <c r="O233">
        <v>26.061699999999998</v>
      </c>
      <c r="P233">
        <v>-97.215000000000003</v>
      </c>
      <c r="Q233" s="2"/>
      <c r="R233" s="2"/>
      <c r="T233" t="s">
        <v>52</v>
      </c>
      <c r="U233" t="s">
        <v>920</v>
      </c>
    </row>
    <row r="234" spans="1:21">
      <c r="A234" t="s">
        <v>921</v>
      </c>
      <c r="B234" t="s">
        <v>922</v>
      </c>
      <c r="C234" t="s">
        <v>754</v>
      </c>
      <c r="D234">
        <v>2010</v>
      </c>
      <c r="E234" t="s">
        <v>81</v>
      </c>
      <c r="F234">
        <v>35.166333333333327</v>
      </c>
      <c r="G234">
        <v>-73.896916666666669</v>
      </c>
      <c r="H234" s="2">
        <v>40424.354166666657</v>
      </c>
      <c r="J234">
        <v>1.43</v>
      </c>
      <c r="K234">
        <v>4.7</v>
      </c>
      <c r="N234" s="7">
        <f>ABS(F234-O234)+ABS(G234-P234)</f>
        <v>1.8484580000000079</v>
      </c>
      <c r="O234">
        <v>35.221648000000002</v>
      </c>
      <c r="P234">
        <v>-75.690060000000003</v>
      </c>
      <c r="Q234" s="2">
        <v>40414</v>
      </c>
      <c r="R234" s="2">
        <v>40427</v>
      </c>
      <c r="S234" t="s">
        <v>923</v>
      </c>
      <c r="T234" t="s">
        <v>326</v>
      </c>
      <c r="U234" t="s">
        <v>924</v>
      </c>
    </row>
    <row r="235" spans="1:21">
      <c r="A235" t="s">
        <v>925</v>
      </c>
      <c r="B235" t="s">
        <v>926</v>
      </c>
      <c r="C235" t="s">
        <v>927</v>
      </c>
      <c r="D235">
        <v>2010</v>
      </c>
      <c r="E235" t="s">
        <v>24</v>
      </c>
      <c r="F235">
        <v>24.9</v>
      </c>
      <c r="G235">
        <v>-97.2</v>
      </c>
      <c r="H235" s="2">
        <v>40428</v>
      </c>
      <c r="I235" t="s">
        <v>193</v>
      </c>
      <c r="J235">
        <v>0.490728</v>
      </c>
      <c r="K235">
        <v>1.61</v>
      </c>
      <c r="L235">
        <v>0.52730399999999999</v>
      </c>
      <c r="M235">
        <v>1.73</v>
      </c>
      <c r="N235">
        <v>1.184200000000001</v>
      </c>
      <c r="O235">
        <v>26.0778</v>
      </c>
      <c r="P235">
        <v>-97.206400000000002</v>
      </c>
      <c r="Q235" s="2">
        <v>40427</v>
      </c>
      <c r="R235" s="2">
        <v>40430</v>
      </c>
      <c r="S235" t="s">
        <v>928</v>
      </c>
      <c r="T235" t="s">
        <v>26</v>
      </c>
    </row>
    <row r="236" spans="1:21">
      <c r="A236" t="s">
        <v>929</v>
      </c>
      <c r="B236" t="s">
        <v>930</v>
      </c>
      <c r="C236" t="s">
        <v>787</v>
      </c>
      <c r="D236">
        <v>2011</v>
      </c>
      <c r="E236" t="s">
        <v>81</v>
      </c>
      <c r="F236">
        <v>34.767899999999997</v>
      </c>
      <c r="G236">
        <v>-76.579866666666661</v>
      </c>
      <c r="H236" s="2">
        <v>40782.520833333343</v>
      </c>
      <c r="I236" t="s">
        <v>873</v>
      </c>
      <c r="L236">
        <v>3.834384</v>
      </c>
      <c r="M236">
        <v>12.58</v>
      </c>
      <c r="N236">
        <v>0.44863333333334049</v>
      </c>
      <c r="O236">
        <v>34.937100000000001</v>
      </c>
      <c r="P236">
        <v>-76.859300000000005</v>
      </c>
      <c r="Q236" s="2"/>
      <c r="R236" s="2"/>
      <c r="S236" t="s">
        <v>931</v>
      </c>
      <c r="T236" t="s">
        <v>26</v>
      </c>
    </row>
    <row r="237" spans="1:21">
      <c r="A237" t="s">
        <v>932</v>
      </c>
      <c r="B237" t="s">
        <v>933</v>
      </c>
      <c r="C237" t="s">
        <v>934</v>
      </c>
      <c r="D237">
        <v>2012</v>
      </c>
      <c r="E237" t="s">
        <v>31</v>
      </c>
      <c r="F237">
        <v>29.15</v>
      </c>
      <c r="G237">
        <v>-90.1</v>
      </c>
      <c r="H237" s="2">
        <v>41150.291666666657</v>
      </c>
      <c r="I237" t="s">
        <v>873</v>
      </c>
      <c r="L237">
        <v>4.3433999999999999</v>
      </c>
      <c r="M237">
        <v>14.25</v>
      </c>
      <c r="N237">
        <v>0.69000000000000128</v>
      </c>
      <c r="O237">
        <v>29.76</v>
      </c>
      <c r="P237">
        <v>-90.02</v>
      </c>
      <c r="Q237" s="2">
        <v>41142</v>
      </c>
      <c r="R237" s="2">
        <v>41153</v>
      </c>
      <c r="S237" t="s">
        <v>935</v>
      </c>
      <c r="T237" t="s">
        <v>26</v>
      </c>
    </row>
    <row r="238" spans="1:21">
      <c r="A238" t="s">
        <v>936</v>
      </c>
      <c r="B238" t="s">
        <v>937</v>
      </c>
      <c r="C238" t="s">
        <v>938</v>
      </c>
      <c r="D238">
        <v>2012</v>
      </c>
      <c r="E238" t="s">
        <v>198</v>
      </c>
      <c r="F238">
        <v>39.4</v>
      </c>
      <c r="G238">
        <v>-74.400000000000006</v>
      </c>
      <c r="H238" s="2">
        <v>41211.979166666657</v>
      </c>
      <c r="I238" t="s">
        <v>873</v>
      </c>
      <c r="L238">
        <v>5.3279040000000002</v>
      </c>
      <c r="M238">
        <v>17.48</v>
      </c>
      <c r="N238">
        <v>1.9400000000000051</v>
      </c>
      <c r="O238">
        <v>40.58</v>
      </c>
      <c r="P238">
        <v>-73.64</v>
      </c>
      <c r="T238" t="s">
        <v>26</v>
      </c>
    </row>
    <row r="239" spans="1:21">
      <c r="A239" t="s">
        <v>939</v>
      </c>
      <c r="B239" t="s">
        <v>940</v>
      </c>
      <c r="C239" t="s">
        <v>941</v>
      </c>
      <c r="D239">
        <v>2014</v>
      </c>
      <c r="E239" t="s">
        <v>81</v>
      </c>
      <c r="F239">
        <v>34.754249999999999</v>
      </c>
      <c r="G239">
        <v>-76.546083333333328</v>
      </c>
      <c r="H239" s="2">
        <v>41824.145833333343</v>
      </c>
      <c r="I239" t="s">
        <v>873</v>
      </c>
      <c r="L239">
        <v>2.1976079999999998</v>
      </c>
      <c r="M239">
        <v>7.21</v>
      </c>
      <c r="N239">
        <v>1.9318333333333371</v>
      </c>
      <c r="O239">
        <v>35.6</v>
      </c>
      <c r="P239">
        <v>-75.459999999999994</v>
      </c>
      <c r="T239" t="s">
        <v>26</v>
      </c>
    </row>
    <row r="240" spans="1:21">
      <c r="A240" t="s">
        <v>942</v>
      </c>
      <c r="B240" t="s">
        <v>943</v>
      </c>
      <c r="C240" t="s">
        <v>927</v>
      </c>
      <c r="D240">
        <v>2016</v>
      </c>
      <c r="E240" t="s">
        <v>37</v>
      </c>
      <c r="F240">
        <v>30.1</v>
      </c>
      <c r="G240">
        <v>-84.1</v>
      </c>
      <c r="H240" s="2">
        <v>42615.229166666657</v>
      </c>
      <c r="I240" t="s">
        <v>873</v>
      </c>
      <c r="L240">
        <v>3.148584</v>
      </c>
      <c r="M240">
        <v>10.33</v>
      </c>
      <c r="N240">
        <v>0.60999999999999233</v>
      </c>
      <c r="O240">
        <v>29.92</v>
      </c>
      <c r="P240">
        <v>-83.67</v>
      </c>
      <c r="T240" t="s">
        <v>26</v>
      </c>
    </row>
    <row r="241" spans="1:20">
      <c r="A241" t="s">
        <v>944</v>
      </c>
      <c r="B241" t="s">
        <v>945</v>
      </c>
      <c r="C241" t="s">
        <v>946</v>
      </c>
      <c r="D241">
        <v>2016</v>
      </c>
      <c r="E241" t="s">
        <v>75</v>
      </c>
      <c r="F241">
        <v>32.916666666666657</v>
      </c>
      <c r="G241">
        <v>-79.566666666666663</v>
      </c>
      <c r="H241" s="2">
        <v>42651.604166666657</v>
      </c>
      <c r="I241" t="s">
        <v>61</v>
      </c>
      <c r="J241">
        <v>1.6776192000000001</v>
      </c>
      <c r="K241">
        <v>5.5039999999999996</v>
      </c>
      <c r="L241">
        <v>2.1750528</v>
      </c>
      <c r="M241">
        <v>7.1360000000000001</v>
      </c>
      <c r="N241">
        <v>0.81499999999999773</v>
      </c>
      <c r="O241">
        <v>33.351700000000001</v>
      </c>
      <c r="P241">
        <v>-79.186700000000002</v>
      </c>
      <c r="T241" t="s">
        <v>26</v>
      </c>
    </row>
    <row r="242" spans="1:20">
      <c r="A242" t="s">
        <v>947</v>
      </c>
      <c r="B242" t="s">
        <v>948</v>
      </c>
      <c r="C242" t="s">
        <v>783</v>
      </c>
      <c r="D242">
        <v>2017</v>
      </c>
      <c r="E242" t="s">
        <v>24</v>
      </c>
      <c r="F242">
        <v>28.166666666666661</v>
      </c>
      <c r="G242">
        <v>-97.066666666666663</v>
      </c>
      <c r="H242" s="2">
        <v>42973.229166666657</v>
      </c>
      <c r="I242" t="s">
        <v>61</v>
      </c>
      <c r="J242">
        <v>2.1823679999999999</v>
      </c>
      <c r="K242">
        <v>7.16</v>
      </c>
      <c r="L242">
        <v>2.2009607999999998</v>
      </c>
      <c r="M242">
        <v>7.2210000000000001</v>
      </c>
      <c r="N242">
        <v>0.88499999999999801</v>
      </c>
      <c r="O242">
        <v>28.58</v>
      </c>
      <c r="P242">
        <v>-96.594999999999999</v>
      </c>
      <c r="T242" t="s">
        <v>26</v>
      </c>
    </row>
    <row r="243" spans="1:20">
      <c r="A243" t="s">
        <v>949</v>
      </c>
      <c r="B243" t="s">
        <v>950</v>
      </c>
      <c r="C243" t="s">
        <v>951</v>
      </c>
      <c r="D243">
        <v>2017</v>
      </c>
      <c r="E243" t="s">
        <v>37</v>
      </c>
      <c r="F243">
        <v>25.99816666666667</v>
      </c>
      <c r="G243">
        <v>-81.695499999999996</v>
      </c>
      <c r="H243" s="2">
        <v>42988.833333333343</v>
      </c>
      <c r="I243" t="s">
        <v>61</v>
      </c>
      <c r="L243">
        <v>2.5328879999999998</v>
      </c>
      <c r="M243">
        <v>8.31</v>
      </c>
      <c r="N243">
        <v>0.45366666666665978</v>
      </c>
      <c r="O243">
        <v>25.85</v>
      </c>
      <c r="P243">
        <v>-81.39</v>
      </c>
      <c r="T243" t="s">
        <v>26</v>
      </c>
    </row>
    <row r="244" spans="1:20">
      <c r="A244" t="s">
        <v>952</v>
      </c>
      <c r="B244" t="s">
        <v>953</v>
      </c>
      <c r="C244" t="s">
        <v>954</v>
      </c>
      <c r="D244">
        <v>2017</v>
      </c>
      <c r="E244" t="s">
        <v>45</v>
      </c>
      <c r="F244">
        <v>30.401250000000001</v>
      </c>
      <c r="G244">
        <v>-88.949933333333334</v>
      </c>
      <c r="H244" s="2">
        <v>43016.229166666657</v>
      </c>
      <c r="I244" t="s">
        <v>873</v>
      </c>
      <c r="L244">
        <v>3.24003</v>
      </c>
      <c r="M244">
        <v>10.63</v>
      </c>
      <c r="N244">
        <v>3.1316666666665327E-2</v>
      </c>
      <c r="O244">
        <v>30.39</v>
      </c>
      <c r="P244">
        <v>-88.97</v>
      </c>
      <c r="T244" t="s">
        <v>26</v>
      </c>
    </row>
  </sheetData>
  <hyperlinks>
    <hyperlink ref="U83" r:id="rId1" xr:uid="{4DCFBA13-0E9B-468A-A92F-C20B9E95210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Tinus Claus Blæsbjerg Lodahl</cp:lastModifiedBy>
  <cp:revision/>
  <dcterms:created xsi:type="dcterms:W3CDTF">2026-01-29T13:45:42Z</dcterms:created>
  <dcterms:modified xsi:type="dcterms:W3CDTF">2026-03-05T14:49:11Z</dcterms:modified>
  <cp:category/>
  <cp:contentStatus/>
</cp:coreProperties>
</file>